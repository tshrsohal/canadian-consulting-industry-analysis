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1c3bcbbd39b44ff4/Desktop/Excel Dashboard/"/>
    </mc:Choice>
  </mc:AlternateContent>
  <xr:revisionPtr revIDLastSave="477" documentId="8_{D03A132B-0EBE-4330-B4B3-7FAD2C87C117}" xr6:coauthVersionLast="47" xr6:coauthVersionMax="47" xr10:uidLastSave="{FB191881-1FF5-41F2-B96C-24A0CB83DC02}"/>
  <bookViews>
    <workbookView xWindow="-110" yWindow="-110" windowWidth="19420" windowHeight="10300" xr2:uid="{458B4B5A-5F6B-4814-A635-6DCFAB61A4E7}"/>
  </bookViews>
  <sheets>
    <sheet name="Dimension Tables" sheetId="1" r:id="rId1"/>
    <sheet name="Pivots" sheetId="2" r:id="rId2"/>
    <sheet name="Dashboard" sheetId="3" r:id="rId3"/>
  </sheets>
  <definedNames>
    <definedName name="Slicer_GEO">#N/A</definedName>
    <definedName name="Slicer_North_American_Industry_Classification_System__NAICS">#N/A</definedName>
    <definedName name="Slicer_Year">#N/A</definedName>
  </definedNames>
  <calcPr calcId="191029"/>
  <pivotCaches>
    <pivotCache cacheId="291" r:id="rId4"/>
    <pivotCache cacheId="294" r:id="rId5"/>
    <pivotCache cacheId="297" r:id="rId6"/>
    <pivotCache cacheId="343" r:id="rId7"/>
    <pivotCache cacheId="364" r:id="rId8"/>
    <pivotCache cacheId="385" r:id="rId9"/>
  </pivotCaches>
  <extLst>
    <ext xmlns:x14="http://schemas.microsoft.com/office/spreadsheetml/2009/9/main" uri="{876F7934-8845-4945-9796-88D515C7AA90}">
      <x14:pivotCaches>
        <pivotCache cacheId="48"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Consulting_fde1a3f2-f53b-42c3-afdd-e78ddde9c15e" name="FactConsulting" connection="Query - FactConsulting"/>
          <x15:modelTable id="DimDate_de2c432a-3700-42b8-b2e8-fb56b2e8498a" name="DimDate" connection="Query - DimDate"/>
          <x15:modelTable id="DimGeo_65f55a44-32ad-441b-9800-78b6af2a53c6" name="DimGeo" connection="Query - DimGeo"/>
          <x15:modelTable id="DimNAICS_8e090b12-216a-499f-824e-e43a59e55e40" name="DimNAICS" connection="Query - DimNAICS"/>
          <x15:modelTable id="DimMetric_dede2455-9bf8-4173-992d-2a4ae26df7ab" name="DimMetric" connection="Query - DimMetric"/>
        </x15:modelTables>
        <x15:modelRelationships>
          <x15:modelRelationship fromTable="FactConsulting" fromColumn="Year" toTable="DimDate" toColumn="DimDate"/>
          <x15:modelRelationship fromTable="FactConsulting" fromColumn="GEO" toTable="DimGeo" toColumn="DimGeo"/>
          <x15:modelRelationship fromTable="FactConsulting" fromColumn="North American Industry Classification System (NAICS)" toTable="DimNAICS" toColumn="DimNAICS"/>
          <x15:modelRelationship fromTable="FactConsulting" fromColumn="Metric" toTable="DimMetric" toColumn="DimMetric"/>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3" l="1"/>
  <c r="H4" i="3"/>
  <c r="E4" i="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650672-7C69-4A41-9DFE-683F0B72697A}" name="Query - DimDate" description="Connection to the 'DimDate' query in the workbook." type="100" refreshedVersion="8" minRefreshableVersion="5">
    <extLst>
      <ext xmlns:x15="http://schemas.microsoft.com/office/spreadsheetml/2010/11/main" uri="{DE250136-89BD-433C-8126-D09CA5730AF9}">
        <x15:connection id="d0cb84e7-55e1-4412-b2a9-24290fd5308c"/>
      </ext>
    </extLst>
  </connection>
  <connection id="2" xr16:uid="{1C914075-D631-4734-8A41-BAB1AB2ABDED}" name="Query - DimGeo" description="Connection to the 'DimGeo' query in the workbook." type="100" refreshedVersion="8" minRefreshableVersion="5">
    <extLst>
      <ext xmlns:x15="http://schemas.microsoft.com/office/spreadsheetml/2010/11/main" uri="{DE250136-89BD-433C-8126-D09CA5730AF9}">
        <x15:connection id="f4ff324a-f490-4625-b1b4-a5285854f4da">
          <x15:oledbPr connection="Provider=Microsoft.Mashup.OleDb.1;Data Source=$Workbook$;Location=DimGeo;Extended Properties=&quot;&quot;">
            <x15:dbTables>
              <x15:dbTable name="DimGeo"/>
            </x15:dbTables>
          </x15:oledbPr>
        </x15:connection>
      </ext>
    </extLst>
  </connection>
  <connection id="3" xr16:uid="{B3739643-C480-486B-A08C-7D06FBCF5A16}" name="Query - DimMetric" description="Connection to the 'DimMetric' query in the workbook." type="100" refreshedVersion="8" minRefreshableVersion="5">
    <extLst>
      <ext xmlns:x15="http://schemas.microsoft.com/office/spreadsheetml/2010/11/main" uri="{DE250136-89BD-433C-8126-D09CA5730AF9}">
        <x15:connection id="2da3643f-9082-4af5-84eb-1fed07acfa9e">
          <x15:oledbPr connection="Provider=Microsoft.Mashup.OleDb.1;Data Source=$Workbook$;Location=DimMetric;Extended Properties=&quot;&quot;">
            <x15:dbTables>
              <x15:dbTable name="DimMetric"/>
            </x15:dbTables>
          </x15:oledbPr>
        </x15:connection>
      </ext>
    </extLst>
  </connection>
  <connection id="4" xr16:uid="{2BF4D181-BF84-4CBE-B69C-13E6E7E6C52D}" name="Query - DimNAICS" description="Connection to the 'DimNAICS' query in the workbook." type="100" refreshedVersion="8" minRefreshableVersion="5">
    <extLst>
      <ext xmlns:x15="http://schemas.microsoft.com/office/spreadsheetml/2010/11/main" uri="{DE250136-89BD-433C-8126-D09CA5730AF9}">
        <x15:connection id="f4fd229a-4283-4359-901e-8a28c82d4fc1">
          <x15:oledbPr connection="Provider=Microsoft.Mashup.OleDb.1;Data Source=$Workbook$;Location=DimNAICS;Extended Properties=&quot;&quot;">
            <x15:dbTables>
              <x15:dbTable name="DimNAICS"/>
            </x15:dbTables>
          </x15:oledbPr>
        </x15:connection>
      </ext>
    </extLst>
  </connection>
  <connection id="5" xr16:uid="{BB63F501-F59E-4F26-8D49-A2514462A898}" name="Query - FactConsulting" description="Connection to the 'FactConsulting' query in the workbook." type="100" refreshedVersion="8" minRefreshableVersion="5">
    <extLst>
      <ext xmlns:x15="http://schemas.microsoft.com/office/spreadsheetml/2010/11/main" uri="{DE250136-89BD-433C-8126-D09CA5730AF9}">
        <x15:connection id="b922618f-143c-410d-9455-8b996e867704">
          <x15:oledbPr connection="Provider=Microsoft.Mashup.OleDb.1;Data Source=$Workbook$;Location=FactConsulting;Extended Properties=&quot;&quot;">
            <x15:dbTables>
              <x15:dbTable name="FactConsulting"/>
            </x15:dbTables>
          </x15:oledbPr>
        </x15:connection>
      </ext>
    </extLst>
  </connection>
  <connection id="6" xr16:uid="{5DB2C3F9-3154-42C8-AFFC-45E20955777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Consulting].[Year].[All]}"/>
  </metadataStrings>
  <mdxMetadata count="1">
    <mdx n="0" f="s">
      <ms ns="1" c="0"/>
    </mdx>
  </mdxMetadata>
  <valueMetadata count="1">
    <bk>
      <rc t="1" v="0"/>
    </bk>
  </valueMetadata>
</metadata>
</file>

<file path=xl/sharedStrings.xml><?xml version="1.0" encoding="utf-8"?>
<sst xmlns="http://schemas.openxmlformats.org/spreadsheetml/2006/main" count="127" uniqueCount="50">
  <si>
    <t>DimDate</t>
  </si>
  <si>
    <t>DimGeo</t>
  </si>
  <si>
    <t>DimNAICS</t>
  </si>
  <si>
    <t>DimMetric</t>
  </si>
  <si>
    <t>UOM</t>
  </si>
  <si>
    <t>Canada</t>
  </si>
  <si>
    <t>Management, scientific and technical consulting services [5416]</t>
  </si>
  <si>
    <t>Operating revenue</t>
  </si>
  <si>
    <t>Dollars</t>
  </si>
  <si>
    <t>Newfoundland and Labrador</t>
  </si>
  <si>
    <t>Management consulting services [54161]</t>
  </si>
  <si>
    <t>Operating expenses</t>
  </si>
  <si>
    <t>Prince Edward Island</t>
  </si>
  <si>
    <t>Environmental and other scientific and technical consulting services</t>
  </si>
  <si>
    <t>Salaries, wages, commissions and benefits</t>
  </si>
  <si>
    <t>Nova Scotia</t>
  </si>
  <si>
    <t>Operating profit margin</t>
  </si>
  <si>
    <t>Percent</t>
  </si>
  <si>
    <t>New Brunswick</t>
  </si>
  <si>
    <t>Quebec</t>
  </si>
  <si>
    <t>Ontario</t>
  </si>
  <si>
    <t>Manitoba</t>
  </si>
  <si>
    <t>Saskatchewan</t>
  </si>
  <si>
    <t>Alberta</t>
  </si>
  <si>
    <t>British Columbia</t>
  </si>
  <si>
    <t>Yukon</t>
  </si>
  <si>
    <t>Northwest Territories</t>
  </si>
  <si>
    <t>Row Labels</t>
  </si>
  <si>
    <t>Grand Total</t>
  </si>
  <si>
    <t>Revenue ($M)</t>
  </si>
  <si>
    <t>Profit ($M)</t>
  </si>
  <si>
    <t>Profit Margin (%)</t>
  </si>
  <si>
    <t>Revenue YoY %</t>
  </si>
  <si>
    <t>Year</t>
  </si>
  <si>
    <t>KPIs</t>
  </si>
  <si>
    <t>Revenue Card</t>
  </si>
  <si>
    <t>Profit Card</t>
  </si>
  <si>
    <t>Margin Card</t>
  </si>
  <si>
    <t>YoY Card</t>
  </si>
  <si>
    <t>All</t>
  </si>
  <si>
    <t>Nunavut</t>
  </si>
  <si>
    <t>Executive Summary</t>
  </si>
  <si>
    <t>Expenses ($M)</t>
  </si>
  <si>
    <t>Industry Comparison</t>
  </si>
  <si>
    <t>Total Revenue ($M)</t>
  </si>
  <si>
    <t>Industry</t>
  </si>
  <si>
    <t>Geography View</t>
  </si>
  <si>
    <t>(blank)</t>
  </si>
  <si>
    <t>Province/Geography</t>
  </si>
  <si>
    <t>Total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</si>
</sst>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0;\-\$#,##0.00;\$#,##0.00"/>
    <numFmt numFmtId="165" formatCode="0.00%;\-0.00%;0.00%"/>
  </numFmts>
  <fonts count="6" x14ac:knownFonts="1">
    <font>
      <sz val="11"/>
      <color theme="1"/>
      <name val="Aptos Narrow"/>
      <family val="2"/>
      <scheme val="minor"/>
    </font>
    <font>
      <sz val="11"/>
      <color theme="1"/>
      <name val="Aptos Narrow"/>
      <family val="2"/>
      <scheme val="minor"/>
    </font>
    <font>
      <b/>
      <sz val="24"/>
      <color theme="1"/>
      <name val="Aptos Narrow"/>
      <family val="2"/>
      <scheme val="minor"/>
    </font>
    <font>
      <b/>
      <sz val="20"/>
      <color theme="1"/>
      <name val="Aptos Narrow"/>
      <family val="2"/>
      <scheme val="minor"/>
    </font>
    <font>
      <sz val="18"/>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44" fontId="2" fillId="0" borderId="0" xfId="1" applyFont="1" applyAlignment="1">
      <alignment horizontal="center"/>
    </xf>
    <xf numFmtId="44" fontId="2" fillId="0" borderId="0" xfId="1" applyFont="1"/>
    <xf numFmtId="9" fontId="2" fillId="0" borderId="0" xfId="2" applyFont="1"/>
    <xf numFmtId="10" fontId="2" fillId="0" borderId="0" xfId="0" applyNumberFormat="1" applyFont="1"/>
    <xf numFmtId="0" fontId="3" fillId="2" borderId="0" xfId="0" applyFont="1" applyFill="1" applyAlignment="1">
      <alignment horizontal="center"/>
    </xf>
    <xf numFmtId="0" fontId="4" fillId="3" borderId="0" xfId="0" applyFont="1" applyFill="1" applyAlignment="1">
      <alignment horizontal="center"/>
    </xf>
    <xf numFmtId="0" fontId="4" fillId="3" borderId="1" xfId="0" applyFont="1" applyFill="1" applyBorder="1" applyAlignment="1">
      <alignment horizontal="center"/>
    </xf>
    <xf numFmtId="0" fontId="5" fillId="0" borderId="0" xfId="0" applyFont="1"/>
    <xf numFmtId="0" fontId="5" fillId="0" borderId="0" xfId="0" applyFont="1" applyAlignment="1">
      <alignment horizontal="left"/>
    </xf>
  </cellXfs>
  <cellStyles count="3">
    <cellStyle name="Currency" xfId="1" builtinId="4"/>
    <cellStyle name="Normal" xfId="0" builtinId="0"/>
    <cellStyle name="Percent" xfId="2" builtinId="5"/>
  </cellStyles>
  <dxfs count="1">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microsoft.com/office/2017/10/relationships/person" Target="persons/person.xml"/><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13648293963256"/>
          <c:y val="0.23087744240303296"/>
          <c:w val="0.6479601924759405"/>
          <c:h val="0.49329870224555261"/>
        </c:manualLayout>
      </c:layout>
      <c:lineChart>
        <c:grouping val="stacked"/>
        <c:varyColors val="0"/>
        <c:ser>
          <c:idx val="0"/>
          <c:order val="0"/>
          <c:tx>
            <c:strRef>
              <c:f>Dashboard!$B$73</c:f>
              <c:strCache>
                <c:ptCount val="1"/>
                <c:pt idx="0">
                  <c:v>Total</c:v>
                </c:pt>
              </c:strCache>
            </c:strRef>
          </c:tx>
          <c:spPr>
            <a:ln w="28575" cap="rnd">
              <a:solidFill>
                <a:schemeClr val="accent1"/>
              </a:solidFill>
              <a:round/>
            </a:ln>
            <a:effectLst/>
          </c:spPr>
          <c:marker>
            <c:symbol val="none"/>
          </c:marker>
          <c:cat>
            <c:strRef>
              <c:f>Dashboard!$A$74:$A$87</c:f>
              <c:strCach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strCache>
            </c:strRef>
          </c:cat>
          <c:val>
            <c:numRef>
              <c:f>Dashboard!$B$74:$B$87</c:f>
              <c:numCache>
                <c:formatCode>\$#,##0.00;\-\$#,##0.00;\$#,##0.00</c:formatCode>
                <c:ptCount val="13"/>
                <c:pt idx="0">
                  <c:v>65619.399999999994</c:v>
                </c:pt>
                <c:pt idx="1">
                  <c:v>70287.300000000017</c:v>
                </c:pt>
                <c:pt idx="2">
                  <c:v>73882.5</c:v>
                </c:pt>
                <c:pt idx="3">
                  <c:v>76454.400000000009</c:v>
                </c:pt>
                <c:pt idx="4">
                  <c:v>78669.3</c:v>
                </c:pt>
                <c:pt idx="5">
                  <c:v>81995</c:v>
                </c:pt>
                <c:pt idx="6">
                  <c:v>97822.499999999971</c:v>
                </c:pt>
                <c:pt idx="7">
                  <c:v>103850.80000000002</c:v>
                </c:pt>
                <c:pt idx="8">
                  <c:v>106462.9</c:v>
                </c:pt>
                <c:pt idx="9">
                  <c:v>119677.1</c:v>
                </c:pt>
                <c:pt idx="10">
                  <c:v>136026.4</c:v>
                </c:pt>
                <c:pt idx="11">
                  <c:v>150278.69999999998</c:v>
                </c:pt>
                <c:pt idx="12">
                  <c:v>159775.40000000002</c:v>
                </c:pt>
              </c:numCache>
            </c:numRef>
          </c:val>
          <c:smooth val="0"/>
          <c:extLst>
            <c:ext xmlns:c16="http://schemas.microsoft.com/office/drawing/2014/chart" uri="{C3380CC4-5D6E-409C-BE32-E72D297353CC}">
              <c16:uniqueId val="{00000000-4624-4327-A65B-51CC9CDE324F}"/>
            </c:ext>
          </c:extLst>
        </c:ser>
        <c:dLbls>
          <c:showLegendKey val="0"/>
          <c:showVal val="0"/>
          <c:showCatName val="0"/>
          <c:showSerName val="0"/>
          <c:showPercent val="0"/>
          <c:showBubbleSize val="0"/>
        </c:dLbls>
        <c:smooth val="0"/>
        <c:axId val="727406512"/>
        <c:axId val="172025088"/>
      </c:lineChart>
      <c:catAx>
        <c:axId val="72740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5088"/>
        <c:crosses val="autoZero"/>
        <c:auto val="1"/>
        <c:lblAlgn val="ctr"/>
        <c:lblOffset val="100"/>
        <c:noMultiLvlLbl val="0"/>
      </c:catAx>
      <c:valAx>
        <c:axId val="17202508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40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Profit</a:t>
            </a:r>
            <a:r>
              <a:rPr lang="en-CA" baseline="0"/>
              <a:t> Margin By NAICS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Dashboard!$E$73</c:f>
              <c:strCache>
                <c:ptCount val="1"/>
                <c:pt idx="0">
                  <c:v>Total</c:v>
                </c:pt>
              </c:strCache>
            </c:strRef>
          </c:tx>
          <c:spPr>
            <a:solidFill>
              <a:schemeClr val="accent1"/>
            </a:solidFill>
            <a:ln>
              <a:noFill/>
            </a:ln>
            <a:effectLst/>
          </c:spPr>
          <c:invertIfNegative val="0"/>
          <c:cat>
            <c:strRef>
              <c:f>Dashboard!$D$74:$D$77</c:f>
              <c:strCache>
                <c:ptCount val="3"/>
                <c:pt idx="0">
                  <c:v>Environmental and other scientific and technical consulting services</c:v>
                </c:pt>
                <c:pt idx="1">
                  <c:v>Management consulting services [54161]</c:v>
                </c:pt>
                <c:pt idx="2">
                  <c:v>Management, scientific and technical consulting services [5416]</c:v>
                </c:pt>
              </c:strCache>
            </c:strRef>
          </c:cat>
          <c:val>
            <c:numRef>
              <c:f>Dashboard!$E$74:$E$77</c:f>
              <c:numCache>
                <c:formatCode>0.00%;\-0.00%;0.00%</c:formatCode>
                <c:ptCount val="3"/>
                <c:pt idx="0">
                  <c:v>0.2282748538011696</c:v>
                </c:pt>
                <c:pt idx="1">
                  <c:v>0.35449707602339203</c:v>
                </c:pt>
                <c:pt idx="2">
                  <c:v>0.29485714285714298</c:v>
                </c:pt>
              </c:numCache>
            </c:numRef>
          </c:val>
          <c:extLst>
            <c:ext xmlns:c16="http://schemas.microsoft.com/office/drawing/2014/chart" uri="{C3380CC4-5D6E-409C-BE32-E72D297353CC}">
              <c16:uniqueId val="{00000000-7122-4FC6-8555-A3827D9EE4DB}"/>
            </c:ext>
          </c:extLst>
        </c:ser>
        <c:dLbls>
          <c:showLegendKey val="0"/>
          <c:showVal val="0"/>
          <c:showCatName val="0"/>
          <c:showSerName val="0"/>
          <c:showPercent val="0"/>
          <c:showBubbleSize val="0"/>
        </c:dLbls>
        <c:gapWidth val="219"/>
        <c:overlap val="-27"/>
        <c:axId val="415581440"/>
        <c:axId val="415582400"/>
      </c:barChart>
      <c:catAx>
        <c:axId val="4155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82400"/>
        <c:crosses val="autoZero"/>
        <c:auto val="1"/>
        <c:lblAlgn val="ctr"/>
        <c:lblOffset val="100"/>
        <c:noMultiLvlLbl val="0"/>
      </c:catAx>
      <c:valAx>
        <c:axId val="4155824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57150</xdr:rowOff>
    </xdr:from>
    <xdr:to>
      <xdr:col>3</xdr:col>
      <xdr:colOff>2686050</xdr:colOff>
      <xdr:row>21</xdr:row>
      <xdr:rowOff>139700</xdr:rowOff>
    </xdr:to>
    <xdr:graphicFrame macro="">
      <xdr:nvGraphicFramePr>
        <xdr:cNvPr id="2" name="Chart 1">
          <a:extLst>
            <a:ext uri="{FF2B5EF4-FFF2-40B4-BE49-F238E27FC236}">
              <a16:creationId xmlns:a16="http://schemas.microsoft.com/office/drawing/2014/main" id="{A669CAD9-9FEB-6DC9-DA57-05AAAAF70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850900</xdr:colOff>
      <xdr:row>23</xdr:row>
      <xdr:rowOff>19050</xdr:rowOff>
    </xdr:from>
    <xdr:to>
      <xdr:col>3</xdr:col>
      <xdr:colOff>2400300</xdr:colOff>
      <xdr:row>38</xdr:row>
      <xdr:rowOff>0</xdr:rowOff>
    </xdr:to>
    <xdr:graphicFrame macro="">
      <xdr:nvGraphicFramePr>
        <xdr:cNvPr id="3" name="Chart 2">
          <a:extLst>
            <a:ext uri="{FF2B5EF4-FFF2-40B4-BE49-F238E27FC236}">
              <a16:creationId xmlns:a16="http://schemas.microsoft.com/office/drawing/2014/main" id="{CF4728FD-2FF9-B8B7-4C70-DC9C2D6FF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590550</xdr:colOff>
      <xdr:row>4</xdr:row>
      <xdr:rowOff>171450</xdr:rowOff>
    </xdr:from>
    <xdr:to>
      <xdr:col>13</xdr:col>
      <xdr:colOff>177800</xdr:colOff>
      <xdr:row>19</xdr:row>
      <xdr:rowOff>28572</xdr:rowOff>
    </xdr:to>
    <mc:AlternateContent xmlns:mc="http://schemas.openxmlformats.org/markup-compatibility/2006">
      <mc:Choice xmlns:a14="http://schemas.microsoft.com/office/drawing/2010/main" Requires="a14">
        <xdr:graphicFrame macro="">
          <xdr:nvGraphicFramePr>
            <xdr:cNvPr id="4" name="GEO">
              <a:extLst>
                <a:ext uri="{FF2B5EF4-FFF2-40B4-BE49-F238E27FC236}">
                  <a16:creationId xmlns:a16="http://schemas.microsoft.com/office/drawing/2014/main" id="{5209CF2D-BE09-F231-EB25-FA818F0FC7FC}"/>
                </a:ext>
              </a:extLst>
            </xdr:cNvPr>
            <xdr:cNvGraphicFramePr/>
          </xdr:nvGraphicFramePr>
          <xdr:xfrm>
            <a:off x="0" y="0"/>
            <a:ext cx="0" cy="0"/>
          </xdr:xfrm>
          <a:graphic>
            <a:graphicData uri="http://schemas.microsoft.com/office/drawing/2010/slicer">
              <sle:slicer xmlns:sle="http://schemas.microsoft.com/office/drawing/2010/slicer" name="GEO"/>
            </a:graphicData>
          </a:graphic>
        </xdr:graphicFrame>
      </mc:Choice>
      <mc:Fallback>
        <xdr:sp macro="" textlink="">
          <xdr:nvSpPr>
            <xdr:cNvPr id="0" name=""/>
            <xdr:cNvSpPr>
              <a:spLocks noTextEdit="1"/>
            </xdr:cNvSpPr>
          </xdr:nvSpPr>
          <xdr:spPr>
            <a:xfrm>
              <a:off x="14693900" y="1377950"/>
              <a:ext cx="1828800" cy="26193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1009650</xdr:colOff>
      <xdr:row>4</xdr:row>
      <xdr:rowOff>171450</xdr:rowOff>
    </xdr:from>
    <xdr:to>
      <xdr:col>10</xdr:col>
      <xdr:colOff>419100</xdr:colOff>
      <xdr:row>19</xdr:row>
      <xdr:rowOff>28572</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DF147BFD-B22B-8A89-BB47-69513FC2D07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693650" y="1377950"/>
              <a:ext cx="1828800" cy="26193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355600</xdr:colOff>
      <xdr:row>4</xdr:row>
      <xdr:rowOff>171450</xdr:rowOff>
    </xdr:from>
    <xdr:to>
      <xdr:col>16</xdr:col>
      <xdr:colOff>355600</xdr:colOff>
      <xdr:row>19</xdr:row>
      <xdr:rowOff>28572</xdr:rowOff>
    </xdr:to>
    <mc:AlternateContent xmlns:mc="http://schemas.openxmlformats.org/markup-compatibility/2006">
      <mc:Choice xmlns:a14="http://schemas.microsoft.com/office/drawing/2010/main" Requires="a14">
        <xdr:graphicFrame macro="">
          <xdr:nvGraphicFramePr>
            <xdr:cNvPr id="6" name="North American Industry Classification System (NAICS)">
              <a:extLst>
                <a:ext uri="{FF2B5EF4-FFF2-40B4-BE49-F238E27FC236}">
                  <a16:creationId xmlns:a16="http://schemas.microsoft.com/office/drawing/2014/main" id="{76600409-63DA-3578-7F53-8C62B3D6CC35}"/>
                </a:ext>
              </a:extLst>
            </xdr:cNvPr>
            <xdr:cNvGraphicFramePr/>
          </xdr:nvGraphicFramePr>
          <xdr:xfrm>
            <a:off x="0" y="0"/>
            <a:ext cx="0" cy="0"/>
          </xdr:xfrm>
          <a:graphic>
            <a:graphicData uri="http://schemas.microsoft.com/office/drawing/2010/slicer">
              <sle:slicer xmlns:sle="http://schemas.microsoft.com/office/drawing/2010/slicer" name="North American Industry Classification System (NAICS)"/>
            </a:graphicData>
          </a:graphic>
        </xdr:graphicFrame>
      </mc:Choice>
      <mc:Fallback>
        <xdr:sp macro="" textlink="">
          <xdr:nvSpPr>
            <xdr:cNvPr id="0" name=""/>
            <xdr:cNvSpPr>
              <a:spLocks noTextEdit="1"/>
            </xdr:cNvSpPr>
          </xdr:nvSpPr>
          <xdr:spPr>
            <a:xfrm>
              <a:off x="16700500" y="1377950"/>
              <a:ext cx="1828800" cy="26193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sohal" refreshedDate="46071.949996527779" createdVersion="8" refreshedVersion="8" minRefreshableVersion="3" recordCount="0" supportSubquery="1" supportAdvancedDrill="1" xr:uid="{A8A36062-BD08-44AE-B844-1E5E6E821BA8}">
  <cacheSource type="external" connectionId="6"/>
  <cacheFields count="7">
    <cacheField name="[FactConsulting].[Year].[Year]" caption="Year" numFmtId="0" hierarchy="6" level="1">
      <sharedItems containsSemiMixedTypes="0" containsNonDate="0" containsString="0"/>
    </cacheField>
    <cacheField name="[Measures].[Revenue ($M)]" caption="Revenue ($M)" numFmtId="0" hierarchy="19" level="32767"/>
    <cacheField name="[Measures].[Profit ($M)]" caption="Profit ($M)" numFmtId="0" hierarchy="16" level="32767"/>
    <cacheField name="[Measures].[Profit Margin (%)]" caption="Profit Margin (%)" numFmtId="0" hierarchy="17" level="32767"/>
    <cacheField name="[Measures].[Revenue YoY %]" caption="Revenue YoY %" numFmtId="0" hierarchy="18" level="32767"/>
    <cacheField name="[FactConsulting].[GEO].[GEO]" caption="GEO" numFmtId="0" hierarchy="7" level="1">
      <sharedItems count="14">
        <s v="Alberta"/>
        <s v="British Columbia"/>
        <s v="Canada"/>
        <s v="Manitoba"/>
        <s v="New Brunswick"/>
        <s v="Newfoundland and Labrador"/>
        <s v="Northwest Territories"/>
        <s v="Nova Scotia"/>
        <s v="Nunavut"/>
        <s v="Ontario"/>
        <s v="Prince Edward Island"/>
        <s v="Quebec"/>
        <s v="Saskatchewan"/>
        <s v="Yukon"/>
      </sharedItems>
    </cacheField>
    <cacheField name="[FactConsulting].[North American Industry Classification System (NAICS)].[North American Industry Classification System (NAICS)]" caption="North American Industry Classification System (NAICS)" numFmtId="0" hierarchy="8" level="1">
      <sharedItems containsSemiMixedTypes="0" containsNonDate="0" containsString="0"/>
    </cacheField>
  </cacheFields>
  <cacheHierarchies count="26">
    <cacheHierarchy uniqueName="[DimDate].[DimDate]" caption="DimDate" attribute="1" defaultMemberUniqueName="[DimDate].[DimDate].[All]" allUniqueName="[DimDate].[DimDate].[All]" dimensionUniqueName="[DimDate]"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Geo].[DimGeo]" caption="DimGeo" attribute="1" defaultMemberUniqueName="[DimGeo].[DimGeo].[All]" allUniqueName="[DimGeo].[DimGeo].[All]" dimensionUniqueName="[DimGeo]" displayFolder="" count="2" memberValueDatatype="130" unbalanced="0"/>
    <cacheHierarchy uniqueName="[DimMetric].[DimMetric]" caption="DimMetric" attribute="1" defaultMemberUniqueName="[DimMetric].[DimMetric].[All]" allUniqueName="[DimMetric].[DimMetric].[All]" dimensionUniqueName="[DimMetric]" displayFolder="" count="2" memberValueDatatype="130" unbalanced="0"/>
    <cacheHierarchy uniqueName="[DimMetric].[UOM]" caption="UOM" attribute="1" defaultMemberUniqueName="[DimMetric].[UOM].[All]" allUniqueName="[DimMetric].[UOM].[All]" dimensionUniqueName="[DimMetric]" displayFolder="" count="2" memberValueDatatype="130" unbalanced="0"/>
    <cacheHierarchy uniqueName="[DimNAICS].[DimNAICS]" caption="DimNAICS" attribute="1" defaultMemberUniqueName="[DimNAICS].[DimNAICS].[All]" allUniqueName="[DimNAICS].[DimNAICS].[All]" dimensionUniqueName="[DimNAICS]" displayFolder="" count="2" memberValueDatatype="130" unbalanced="0"/>
    <cacheHierarchy uniqueName="[FactConsulting].[Year]" caption="Year" attribute="1" defaultMemberUniqueName="[FactConsulting].[Year].[All]" allUniqueName="[FactConsulting].[Year].[All]" dimensionUniqueName="[FactConsulting]" displayFolder="" count="2" memberValueDatatype="20" unbalanced="0">
      <fieldsUsage count="2">
        <fieldUsage x="-1"/>
        <fieldUsage x="0"/>
      </fieldsUsage>
    </cacheHierarchy>
    <cacheHierarchy uniqueName="[FactConsulting].[GEO]" caption="GEO" attribute="1" defaultMemberUniqueName="[FactConsulting].[GEO].[All]" allUniqueName="[FactConsulting].[GEO].[All]" dimensionUniqueName="[FactConsulting]" displayFolder="" count="2" memberValueDatatype="130" unbalanced="0">
      <fieldsUsage count="2">
        <fieldUsage x="-1"/>
        <fieldUsage x="5"/>
      </fieldsUsage>
    </cacheHierarchy>
    <cacheHierarchy uniqueName="[FactConsulting].[North American Industry Classification System (NAICS)]" caption="North American Industry Classification System (NAICS)" attribute="1" defaultMemberUniqueName="[FactConsulting].[North American Industry Classification System (NAICS)].[All]" allUniqueName="[FactConsulting].[North American Industry Classification System (NAICS)].[All]" dimensionUniqueName="[FactConsulting]" displayFolder="" count="2" memberValueDatatype="130" unbalanced="0">
      <fieldsUsage count="2">
        <fieldUsage x="-1"/>
        <fieldUsage x="6"/>
      </fieldsUsage>
    </cacheHierarchy>
    <cacheHierarchy uniqueName="[FactConsulting].[Metric]" caption="Metric" attribute="1" defaultMemberUniqueName="[FactConsulting].[Metric].[All]" allUniqueName="[FactConsulting].[Metric].[All]" dimensionUniqueName="[FactConsulting]" displayFolder="" count="2" memberValueDatatype="130" unbalanced="0"/>
    <cacheHierarchy uniqueName="[FactConsulting].[UOM]" caption="UOM" attribute="1" defaultMemberUniqueName="[FactConsulting].[UOM].[All]" allUniqueName="[FactConsulting].[UOM].[All]" dimensionUniqueName="[FactConsulting]" displayFolder="" count="2" memberValueDatatype="130" unbalanced="0"/>
    <cacheHierarchy uniqueName="[FactConsulting].[SCALAR_FACTOR]" caption="SCALAR_FACTOR" attribute="1" defaultMemberUniqueName="[FactConsulting].[SCALAR_FACTOR].[All]" allUniqueName="[FactConsulting].[SCALAR_FACTOR].[All]" dimensionUniqueName="[FactConsulting]" displayFolder="" count="2" memberValueDatatype="130" unbalanced="0"/>
    <cacheHierarchy uniqueName="[FactConsulting].[VALUE]" caption="VALUE" attribute="1" defaultMemberUniqueName="[FactConsulting].[VALUE].[All]" allUniqueName="[FactConsulting].[VALUE].[All]" dimensionUniqueName="[FactConsulting]" displayFolder="" count="2" memberValueDatatype="5" unbalanced="0"/>
    <cacheHierarchy uniqueName="[FactConsulting].[Value_Std]" caption="Value_Std" attribute="1" defaultMemberUniqueName="[FactConsulting].[Value_Std].[All]" allUniqueName="[FactConsulting].[Value_Std].[All]" dimensionUniqueName="[FactConsulting]" displayFolder="" count="2" memberValueDatatype="5" unbalanced="0"/>
    <cacheHierarchy uniqueName="[Measures].[Expenses ($M)]" caption="Expenses ($M)" measure="1" displayFolder="" measureGroup="FactConsulting" count="0"/>
    <cacheHierarchy uniqueName="[Measures].[Salaries ($M)]" caption="Salaries ($M)" measure="1" displayFolder="" measureGroup="FactConsulting" count="0"/>
    <cacheHierarchy uniqueName="[Measures].[Profit ($M)]" caption="Profit ($M)" measure="1" displayFolder="" measureGroup="FactConsulting" count="0" oneField="1">
      <fieldsUsage count="1">
        <fieldUsage x="2"/>
      </fieldsUsage>
    </cacheHierarchy>
    <cacheHierarchy uniqueName="[Measures].[Profit Margin (%)]" caption="Profit Margin (%)" measure="1" displayFolder="" measureGroup="FactConsulting" count="0" oneField="1">
      <fieldsUsage count="1">
        <fieldUsage x="3"/>
      </fieldsUsage>
    </cacheHierarchy>
    <cacheHierarchy uniqueName="[Measures].[Revenue YoY %]" caption="Revenue YoY %" measure="1" displayFolder="" measureGroup="FactConsulting" count="0" oneField="1">
      <fieldsUsage count="1">
        <fieldUsage x="4"/>
      </fieldsUsage>
    </cacheHierarchy>
    <cacheHierarchy uniqueName="[Measures].[Revenue ($M)]" caption="Revenue ($M)" measure="1" displayFolder="" measureGroup="FactConsulting" count="0" oneField="1">
      <fieldsUsage count="1">
        <fieldUsage x="1"/>
      </fieldsUsage>
    </cacheHierarchy>
    <cacheHierarchy uniqueName="[Measures].[__XL_Count FactConsulting]" caption="__XL_Count FactConsulting" measure="1" displayFolder="" measureGroup="FactConsulting" count="0" hidden="1"/>
    <cacheHierarchy uniqueName="[Measures].[__XL_Count DimDate]" caption="__XL_Count DimDate" measure="1" displayFolder="" measureGroup="DimDate" count="0" hidden="1"/>
    <cacheHierarchy uniqueName="[Measures].[__XL_Count DimGeo]" caption="__XL_Count DimGeo" measure="1" displayFolder="" measureGroup="DimGeo" count="0" hidden="1"/>
    <cacheHierarchy uniqueName="[Measures].[__XL_Count DimNAICS]" caption="__XL_Count DimNAICS" measure="1" displayFolder="" measureGroup="DimNAICS" count="0" hidden="1"/>
    <cacheHierarchy uniqueName="[Measures].[__XL_Count DimMetric]" caption="__XL_Count DimMetric" measure="1" displayFolder="" measureGroup="DimMetric" count="0" hidden="1"/>
    <cacheHierarchy uniqueName="[Measures].[__No measures defined]" caption="__No measures defined" measure="1" displayFolder="" count="0" hidden="1"/>
  </cacheHierarchies>
  <kpis count="0"/>
  <dimensions count="6">
    <dimension name="DimDate" uniqueName="[DimDate]" caption="DimDate"/>
    <dimension name="DimGeo" uniqueName="[DimGeo]" caption="DimGeo"/>
    <dimension name="DimMetric" uniqueName="[DimMetric]" caption="DimMetric"/>
    <dimension name="DimNAICS" uniqueName="[DimNAICS]" caption="DimNAICS"/>
    <dimension name="FactConsulting" uniqueName="[FactConsulting]" caption="FactConsulting"/>
    <dimension measure="1" name="Measures" uniqueName="[Measures]" caption="Measures"/>
  </dimensions>
  <measureGroups count="5">
    <measureGroup name="DimDate" caption="DimDate"/>
    <measureGroup name="DimGeo" caption="DimGeo"/>
    <measureGroup name="DimMetric" caption="DimMetric"/>
    <measureGroup name="DimNAICS" caption="DimNAICS"/>
    <measureGroup name="FactConsulting" caption="FactConsulting"/>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sohal" refreshedDate="46071.949996990741" createdVersion="8" refreshedVersion="8" minRefreshableVersion="3" recordCount="0" supportSubquery="1" supportAdvancedDrill="1" xr:uid="{19995E42-E79B-48D3-A9CC-8B8A092AE227}">
  <cacheSource type="external" connectionId="6"/>
  <cacheFields count="3">
    <cacheField name="[FactConsulting].[Year].[Year]" caption="Year" numFmtId="0" hierarchy="6" level="1">
      <sharedItems containsSemiMixedTypes="0" containsString="0" containsNumber="1" containsInteger="1" minValue="2012" maxValue="2024" count="13">
        <n v="2012"/>
        <n v="2013"/>
        <n v="2014"/>
        <n v="2015"/>
        <n v="2016"/>
        <n v="2017"/>
        <n v="2018"/>
        <n v="2019"/>
        <n v="2020"/>
        <n v="2021"/>
        <n v="2022"/>
        <n v="2023"/>
        <n v="2024"/>
      </sharedItems>
      <extLst>
        <ext xmlns:x15="http://schemas.microsoft.com/office/spreadsheetml/2010/11/main" uri="{4F2E5C28-24EA-4eb8-9CBF-B6C8F9C3D259}">
          <x15:cachedUniqueNames>
            <x15:cachedUniqueName index="0" name="[FactConsulting].[Year].&amp;[2012]"/>
            <x15:cachedUniqueName index="1" name="[FactConsulting].[Year].&amp;[2013]"/>
            <x15:cachedUniqueName index="2" name="[FactConsulting].[Year].&amp;[2014]"/>
            <x15:cachedUniqueName index="3" name="[FactConsulting].[Year].&amp;[2015]"/>
            <x15:cachedUniqueName index="4" name="[FactConsulting].[Year].&amp;[2016]"/>
            <x15:cachedUniqueName index="5" name="[FactConsulting].[Year].&amp;[2017]"/>
            <x15:cachedUniqueName index="6" name="[FactConsulting].[Year].&amp;[2018]"/>
            <x15:cachedUniqueName index="7" name="[FactConsulting].[Year].&amp;[2019]"/>
            <x15:cachedUniqueName index="8" name="[FactConsulting].[Year].&amp;[2020]"/>
            <x15:cachedUniqueName index="9" name="[FactConsulting].[Year].&amp;[2021]"/>
            <x15:cachedUniqueName index="10" name="[FactConsulting].[Year].&amp;[2022]"/>
            <x15:cachedUniqueName index="11" name="[FactConsulting].[Year].&amp;[2023]"/>
            <x15:cachedUniqueName index="12" name="[FactConsulting].[Year].&amp;[2024]"/>
          </x15:cachedUniqueNames>
        </ext>
      </extLst>
    </cacheField>
    <cacheField name="[Measures].[Revenue ($M)]" caption="Revenue ($M)" numFmtId="0" hierarchy="19" level="32767"/>
    <cacheField name="[FactConsulting].[North American Industry Classification System (NAICS)].[North American Industry Classification System (NAICS)]" caption="North American Industry Classification System (NAICS)" numFmtId="0" hierarchy="8" level="1">
      <sharedItems containsSemiMixedTypes="0" containsNonDate="0" containsString="0"/>
    </cacheField>
  </cacheFields>
  <cacheHierarchies count="26">
    <cacheHierarchy uniqueName="[DimDate].[DimDate]" caption="DimDate" attribute="1" defaultMemberUniqueName="[DimDate].[DimDate].[All]" allUniqueName="[DimDate].[DimDate].[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Geo].[DimGeo]" caption="DimGeo" attribute="1" defaultMemberUniqueName="[DimGeo].[DimGeo].[All]" allUniqueName="[DimGeo].[DimGeo].[All]" dimensionUniqueName="[DimGeo]" displayFolder="" count="0" memberValueDatatype="130" unbalanced="0"/>
    <cacheHierarchy uniqueName="[DimMetric].[DimMetric]" caption="DimMetric" attribute="1" defaultMemberUniqueName="[DimMetric].[DimMetric].[All]" allUniqueName="[DimMetric].[DimMetric].[All]" dimensionUniqueName="[DimMetric]" displayFolder="" count="0" memberValueDatatype="130" unbalanced="0"/>
    <cacheHierarchy uniqueName="[DimMetric].[UOM]" caption="UOM" attribute="1" defaultMemberUniqueName="[DimMetric].[UOM].[All]" allUniqueName="[DimMetric].[UOM].[All]" dimensionUniqueName="[DimMetric]" displayFolder="" count="0" memberValueDatatype="130" unbalanced="0"/>
    <cacheHierarchy uniqueName="[DimNAICS].[DimNAICS]" caption="DimNAICS" attribute="1" defaultMemberUniqueName="[DimNAICS].[DimNAICS].[All]" allUniqueName="[DimNAICS].[DimNAICS].[All]" dimensionUniqueName="[DimNAICS]" displayFolder="" count="0" memberValueDatatype="130" unbalanced="0"/>
    <cacheHierarchy uniqueName="[FactConsulting].[Year]" caption="Year" attribute="1" defaultMemberUniqueName="[FactConsulting].[Year].[All]" allUniqueName="[FactConsulting].[Year].[All]" dimensionUniqueName="[FactConsulting]" displayFolder="" count="2" memberValueDatatype="20" unbalanced="0">
      <fieldsUsage count="2">
        <fieldUsage x="-1"/>
        <fieldUsage x="0"/>
      </fieldsUsage>
    </cacheHierarchy>
    <cacheHierarchy uniqueName="[FactConsulting].[GEO]" caption="GEO" attribute="1" defaultMemberUniqueName="[FactConsulting].[GEO].[All]" allUniqueName="[FactConsulting].[GEO].[All]" dimensionUniqueName="[FactConsulting]" displayFolder="" count="2" memberValueDatatype="130" unbalanced="0"/>
    <cacheHierarchy uniqueName="[FactConsulting].[North American Industry Classification System (NAICS)]" caption="North American Industry Classification System (NAICS)" attribute="1" defaultMemberUniqueName="[FactConsulting].[North American Industry Classification System (NAICS)].[All]" allUniqueName="[FactConsulting].[North American Industry Classification System (NAICS)].[All]" dimensionUniqueName="[FactConsulting]" displayFolder="" count="2" memberValueDatatype="130" unbalanced="0">
      <fieldsUsage count="2">
        <fieldUsage x="-1"/>
        <fieldUsage x="2"/>
      </fieldsUsage>
    </cacheHierarchy>
    <cacheHierarchy uniqueName="[FactConsulting].[Metric]" caption="Metric" attribute="1" defaultMemberUniqueName="[FactConsulting].[Metric].[All]" allUniqueName="[FactConsulting].[Metric].[All]" dimensionUniqueName="[FactConsulting]" displayFolder="" count="0" memberValueDatatype="130" unbalanced="0"/>
    <cacheHierarchy uniqueName="[FactConsulting].[UOM]" caption="UOM" attribute="1" defaultMemberUniqueName="[FactConsulting].[UOM].[All]" allUniqueName="[FactConsulting].[UOM].[All]" dimensionUniqueName="[FactConsulting]" displayFolder="" count="0" memberValueDatatype="130" unbalanced="0"/>
    <cacheHierarchy uniqueName="[FactConsulting].[SCALAR_FACTOR]" caption="SCALAR_FACTOR" attribute="1" defaultMemberUniqueName="[FactConsulting].[SCALAR_FACTOR].[All]" allUniqueName="[FactConsulting].[SCALAR_FACTOR].[All]" dimensionUniqueName="[FactConsulting]" displayFolder="" count="0" memberValueDatatype="130" unbalanced="0"/>
    <cacheHierarchy uniqueName="[FactConsulting].[VALUE]" caption="VALUE" attribute="1" defaultMemberUniqueName="[FactConsulting].[VALUE].[All]" allUniqueName="[FactConsulting].[VALUE].[All]" dimensionUniqueName="[FactConsulting]" displayFolder="" count="0" memberValueDatatype="5" unbalanced="0"/>
    <cacheHierarchy uniqueName="[FactConsulting].[Value_Std]" caption="Value_Std" attribute="1" defaultMemberUniqueName="[FactConsulting].[Value_Std].[All]" allUniqueName="[FactConsulting].[Value_Std].[All]" dimensionUniqueName="[FactConsulting]" displayFolder="" count="0" memberValueDatatype="5" unbalanced="0"/>
    <cacheHierarchy uniqueName="[Measures].[Expenses ($M)]" caption="Expenses ($M)" measure="1" displayFolder="" measureGroup="FactConsulting" count="0"/>
    <cacheHierarchy uniqueName="[Measures].[Salaries ($M)]" caption="Salaries ($M)" measure="1" displayFolder="" measureGroup="FactConsulting" count="0"/>
    <cacheHierarchy uniqueName="[Measures].[Profit ($M)]" caption="Profit ($M)" measure="1" displayFolder="" measureGroup="FactConsulting" count="0"/>
    <cacheHierarchy uniqueName="[Measures].[Profit Margin (%)]" caption="Profit Margin (%)" measure="1" displayFolder="" measureGroup="FactConsulting" count="0"/>
    <cacheHierarchy uniqueName="[Measures].[Revenue YoY %]" caption="Revenue YoY %" measure="1" displayFolder="" measureGroup="FactConsulting" count="0"/>
    <cacheHierarchy uniqueName="[Measures].[Revenue ($M)]" caption="Revenue ($M)" measure="1" displayFolder="" measureGroup="FactConsulting" count="0" oneField="1">
      <fieldsUsage count="1">
        <fieldUsage x="1"/>
      </fieldsUsage>
    </cacheHierarchy>
    <cacheHierarchy uniqueName="[Measures].[__XL_Count FactConsulting]" caption="__XL_Count FactConsulting" measure="1" displayFolder="" measureGroup="FactConsulting" count="0" hidden="1"/>
    <cacheHierarchy uniqueName="[Measures].[__XL_Count DimDate]" caption="__XL_Count DimDate" measure="1" displayFolder="" measureGroup="DimDate" count="0" hidden="1"/>
    <cacheHierarchy uniqueName="[Measures].[__XL_Count DimGeo]" caption="__XL_Count DimGeo" measure="1" displayFolder="" measureGroup="DimGeo" count="0" hidden="1"/>
    <cacheHierarchy uniqueName="[Measures].[__XL_Count DimNAICS]" caption="__XL_Count DimNAICS" measure="1" displayFolder="" measureGroup="DimNAICS" count="0" hidden="1"/>
    <cacheHierarchy uniqueName="[Measures].[__XL_Count DimMetric]" caption="__XL_Count DimMetric" measure="1" displayFolder="" measureGroup="DimMetric" count="0" hidden="1"/>
    <cacheHierarchy uniqueName="[Measures].[__No measures defined]" caption="__No measures defined" measure="1" displayFolder="" count="0" hidden="1"/>
  </cacheHierarchies>
  <kpis count="0"/>
  <dimensions count="6">
    <dimension name="DimDate" uniqueName="[DimDate]" caption="DimDate"/>
    <dimension name="DimGeo" uniqueName="[DimGeo]" caption="DimGeo"/>
    <dimension name="DimMetric" uniqueName="[DimMetric]" caption="DimMetric"/>
    <dimension name="DimNAICS" uniqueName="[DimNAICS]" caption="DimNAICS"/>
    <dimension name="FactConsulting" uniqueName="[FactConsulting]" caption="FactConsulting"/>
    <dimension measure="1" name="Measures" uniqueName="[Measures]" caption="Measures"/>
  </dimensions>
  <measureGroups count="5">
    <measureGroup name="DimDate" caption="DimDate"/>
    <measureGroup name="DimGeo" caption="DimGeo"/>
    <measureGroup name="DimMetric" caption="DimMetric"/>
    <measureGroup name="DimNAICS" caption="DimNAICS"/>
    <measureGroup name="FactConsulting" caption="FactConsulting"/>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sohal" refreshedDate="46071.949997800926" createdVersion="8" refreshedVersion="8" minRefreshableVersion="3" recordCount="0" supportSubquery="1" supportAdvancedDrill="1" xr:uid="{B1038E3E-520E-46BB-A00D-41FB8AA3CCA8}">
  <cacheSource type="external" connectionId="6"/>
  <cacheFields count="2">
    <cacheField name="[FactConsulting].[North American Industry Classification System (NAICS)].[North American Industry Classification System (NAICS)]" caption="North American Industry Classification System (NAICS)" numFmtId="0" hierarchy="8" level="1">
      <sharedItems count="3">
        <s v="Environmental and other scientific and technical consulting services"/>
        <s v="Management consulting services [54161]"/>
        <s v="Management, scientific and technical consulting services [5416]"/>
      </sharedItems>
    </cacheField>
    <cacheField name="[Measures].[Profit Margin (%)]" caption="Profit Margin (%)" numFmtId="0" hierarchy="17" level="32767"/>
  </cacheFields>
  <cacheHierarchies count="26">
    <cacheHierarchy uniqueName="[DimDate].[DimDate]" caption="DimDate" attribute="1" defaultMemberUniqueName="[DimDate].[DimDate].[All]" allUniqueName="[DimDate].[DimDate].[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Geo].[DimGeo]" caption="DimGeo" attribute="1" defaultMemberUniqueName="[DimGeo].[DimGeo].[All]" allUniqueName="[DimGeo].[DimGeo].[All]" dimensionUniqueName="[DimGeo]" displayFolder="" count="0" memberValueDatatype="130" unbalanced="0"/>
    <cacheHierarchy uniqueName="[DimMetric].[DimMetric]" caption="DimMetric" attribute="1" defaultMemberUniqueName="[DimMetric].[DimMetric].[All]" allUniqueName="[DimMetric].[DimMetric].[All]" dimensionUniqueName="[DimMetric]" displayFolder="" count="0" memberValueDatatype="130" unbalanced="0"/>
    <cacheHierarchy uniqueName="[DimMetric].[UOM]" caption="UOM" attribute="1" defaultMemberUniqueName="[DimMetric].[UOM].[All]" allUniqueName="[DimMetric].[UOM].[All]" dimensionUniqueName="[DimMetric]" displayFolder="" count="0" memberValueDatatype="130" unbalanced="0"/>
    <cacheHierarchy uniqueName="[DimNAICS].[DimNAICS]" caption="DimNAICS" attribute="1" defaultMemberUniqueName="[DimNAICS].[DimNAICS].[All]" allUniqueName="[DimNAICS].[DimNAICS].[All]" dimensionUniqueName="[DimNAICS]" displayFolder="" count="0" memberValueDatatype="130" unbalanced="0"/>
    <cacheHierarchy uniqueName="[FactConsulting].[Year]" caption="Year" attribute="1" defaultMemberUniqueName="[FactConsulting].[Year].[All]" allUniqueName="[FactConsulting].[Year].[All]" dimensionUniqueName="[FactConsulting]" displayFolder="" count="2" memberValueDatatype="20" unbalanced="0"/>
    <cacheHierarchy uniqueName="[FactConsulting].[GEO]" caption="GEO" attribute="1" defaultMemberUniqueName="[FactConsulting].[GEO].[All]" allUniqueName="[FactConsulting].[GEO].[All]" dimensionUniqueName="[FactConsulting]" displayFolder="" count="2" memberValueDatatype="130" unbalanced="0"/>
    <cacheHierarchy uniqueName="[FactConsulting].[North American Industry Classification System (NAICS)]" caption="North American Industry Classification System (NAICS)" attribute="1" defaultMemberUniqueName="[FactConsulting].[North American Industry Classification System (NAICS)].[All]" allUniqueName="[FactConsulting].[North American Industry Classification System (NAICS)].[All]" dimensionUniqueName="[FactConsulting]" displayFolder="" count="2" memberValueDatatype="130" unbalanced="0">
      <fieldsUsage count="2">
        <fieldUsage x="-1"/>
        <fieldUsage x="0"/>
      </fieldsUsage>
    </cacheHierarchy>
    <cacheHierarchy uniqueName="[FactConsulting].[Metric]" caption="Metric" attribute="1" defaultMemberUniqueName="[FactConsulting].[Metric].[All]" allUniqueName="[FactConsulting].[Metric].[All]" dimensionUniqueName="[FactConsulting]" displayFolder="" count="0" memberValueDatatype="130" unbalanced="0"/>
    <cacheHierarchy uniqueName="[FactConsulting].[UOM]" caption="UOM" attribute="1" defaultMemberUniqueName="[FactConsulting].[UOM].[All]" allUniqueName="[FactConsulting].[UOM].[All]" dimensionUniqueName="[FactConsulting]" displayFolder="" count="0" memberValueDatatype="130" unbalanced="0"/>
    <cacheHierarchy uniqueName="[FactConsulting].[SCALAR_FACTOR]" caption="SCALAR_FACTOR" attribute="1" defaultMemberUniqueName="[FactConsulting].[SCALAR_FACTOR].[All]" allUniqueName="[FactConsulting].[SCALAR_FACTOR].[All]" dimensionUniqueName="[FactConsulting]" displayFolder="" count="0" memberValueDatatype="130" unbalanced="0"/>
    <cacheHierarchy uniqueName="[FactConsulting].[VALUE]" caption="VALUE" attribute="1" defaultMemberUniqueName="[FactConsulting].[VALUE].[All]" allUniqueName="[FactConsulting].[VALUE].[All]" dimensionUniqueName="[FactConsulting]" displayFolder="" count="0" memberValueDatatype="5" unbalanced="0"/>
    <cacheHierarchy uniqueName="[FactConsulting].[Value_Std]" caption="Value_Std" attribute="1" defaultMemberUniqueName="[FactConsulting].[Value_Std].[All]" allUniqueName="[FactConsulting].[Value_Std].[All]" dimensionUniqueName="[FactConsulting]" displayFolder="" count="0" memberValueDatatype="5" unbalanced="0"/>
    <cacheHierarchy uniqueName="[Measures].[Expenses ($M)]" caption="Expenses ($M)" measure="1" displayFolder="" measureGroup="FactConsulting" count="0"/>
    <cacheHierarchy uniqueName="[Measures].[Salaries ($M)]" caption="Salaries ($M)" measure="1" displayFolder="" measureGroup="FactConsulting" count="0"/>
    <cacheHierarchy uniqueName="[Measures].[Profit ($M)]" caption="Profit ($M)" measure="1" displayFolder="" measureGroup="FactConsulting" count="0"/>
    <cacheHierarchy uniqueName="[Measures].[Profit Margin (%)]" caption="Profit Margin (%)" measure="1" displayFolder="" measureGroup="FactConsulting" count="0" oneField="1">
      <fieldsUsage count="1">
        <fieldUsage x="1"/>
      </fieldsUsage>
    </cacheHierarchy>
    <cacheHierarchy uniqueName="[Measures].[Revenue YoY %]" caption="Revenue YoY %" measure="1" displayFolder="" measureGroup="FactConsulting" count="0"/>
    <cacheHierarchy uniqueName="[Measures].[Revenue ($M)]" caption="Revenue ($M)" measure="1" displayFolder="" measureGroup="FactConsulting" count="0"/>
    <cacheHierarchy uniqueName="[Measures].[__XL_Count FactConsulting]" caption="__XL_Count FactConsulting" measure="1" displayFolder="" measureGroup="FactConsulting" count="0" hidden="1"/>
    <cacheHierarchy uniqueName="[Measures].[__XL_Count DimDate]" caption="__XL_Count DimDate" measure="1" displayFolder="" measureGroup="DimDate" count="0" hidden="1"/>
    <cacheHierarchy uniqueName="[Measures].[__XL_Count DimGeo]" caption="__XL_Count DimGeo" measure="1" displayFolder="" measureGroup="DimGeo" count="0" hidden="1"/>
    <cacheHierarchy uniqueName="[Measures].[__XL_Count DimNAICS]" caption="__XL_Count DimNAICS" measure="1" displayFolder="" measureGroup="DimNAICS" count="0" hidden="1"/>
    <cacheHierarchy uniqueName="[Measures].[__XL_Count DimMetric]" caption="__XL_Count DimMetric" measure="1" displayFolder="" measureGroup="DimMetric" count="0" hidden="1"/>
    <cacheHierarchy uniqueName="[Measures].[__No measures defined]" caption="__No measures defined" measure="1" displayFolder="" count="0" hidden="1"/>
  </cacheHierarchies>
  <kpis count="0"/>
  <dimensions count="6">
    <dimension name="DimDate" uniqueName="[DimDate]" caption="DimDate"/>
    <dimension name="DimGeo" uniqueName="[DimGeo]" caption="DimGeo"/>
    <dimension name="DimMetric" uniqueName="[DimMetric]" caption="DimMetric"/>
    <dimension name="DimNAICS" uniqueName="[DimNAICS]" caption="DimNAICS"/>
    <dimension name="FactConsulting" uniqueName="[FactConsulting]" caption="FactConsulting"/>
    <dimension measure="1" name="Measures" uniqueName="[Measures]" caption="Measures"/>
  </dimensions>
  <measureGroups count="5">
    <measureGroup name="DimDate" caption="DimDate"/>
    <measureGroup name="DimGeo" caption="DimGeo"/>
    <measureGroup name="DimMetric" caption="DimMetric"/>
    <measureGroup name="DimNAICS" caption="DimNAICS"/>
    <measureGroup name="FactConsulting" caption="FactConsulting"/>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sohal" refreshedDate="46071.954624421298" createdVersion="8" refreshedVersion="8" minRefreshableVersion="3" recordCount="0" supportSubquery="1" supportAdvancedDrill="1" xr:uid="{6464FA0D-9998-492A-AB60-8F69390C5F87}">
  <cacheSource type="external" connectionId="6"/>
  <cacheFields count="3">
    <cacheField name="[DimGeo].[DimGeo].[DimGeo]" caption="DimGeo" numFmtId="0" hierarchy="2" level="1">
      <sharedItems containsBlank="1" count="14">
        <s v="Alberta"/>
        <s v="British Columbia"/>
        <s v="Canada"/>
        <s v="Manitoba"/>
        <s v="New Brunswick"/>
        <s v="Newfoundland and Labrador"/>
        <s v="Northwest Territories"/>
        <s v="Nova Scotia"/>
        <s v="Ontario"/>
        <s v="Prince Edward Island"/>
        <s v="Quebec"/>
        <s v="Saskatchewan"/>
        <s v="Yukon"/>
        <m/>
      </sharedItems>
    </cacheField>
    <cacheField name="[Measures].[Revenue ($M)]" caption="Revenue ($M)" numFmtId="0" hierarchy="19" level="32767"/>
    <cacheField name="[Measures].[Profit Margin (%)]" caption="Profit Margin (%)" numFmtId="0" hierarchy="17" level="32767"/>
  </cacheFields>
  <cacheHierarchies count="26">
    <cacheHierarchy uniqueName="[DimDate].[DimDate]" caption="DimDate" attribute="1" defaultMemberUniqueName="[DimDate].[DimDate].[All]" allUniqueName="[DimDate].[DimDate].[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Geo].[DimGeo]" caption="DimGeo" attribute="1" defaultMemberUniqueName="[DimGeo].[DimGeo].[All]" allUniqueName="[DimGeo].[DimGeo].[All]" dimensionUniqueName="[DimGeo]" displayFolder="" count="2" memberValueDatatype="130" unbalanced="0">
      <fieldsUsage count="2">
        <fieldUsage x="-1"/>
        <fieldUsage x="0"/>
      </fieldsUsage>
    </cacheHierarchy>
    <cacheHierarchy uniqueName="[DimMetric].[DimMetric]" caption="DimMetric" attribute="1" defaultMemberUniqueName="[DimMetric].[DimMetric].[All]" allUniqueName="[DimMetric].[DimMetric].[All]" dimensionUniqueName="[DimMetric]" displayFolder="" count="0" memberValueDatatype="130" unbalanced="0"/>
    <cacheHierarchy uniqueName="[DimMetric].[UOM]" caption="UOM" attribute="1" defaultMemberUniqueName="[DimMetric].[UOM].[All]" allUniqueName="[DimMetric].[UOM].[All]" dimensionUniqueName="[DimMetric]" displayFolder="" count="0" memberValueDatatype="130" unbalanced="0"/>
    <cacheHierarchy uniqueName="[DimNAICS].[DimNAICS]" caption="DimNAICS" attribute="1" defaultMemberUniqueName="[DimNAICS].[DimNAICS].[All]" allUniqueName="[DimNAICS].[DimNAICS].[All]" dimensionUniqueName="[DimNAICS]" displayFolder="" count="0" memberValueDatatype="130" unbalanced="0"/>
    <cacheHierarchy uniqueName="[FactConsulting].[Year]" caption="Year" attribute="1" defaultMemberUniqueName="[FactConsulting].[Year].[All]" allUniqueName="[FactConsulting].[Year].[All]" dimensionUniqueName="[FactConsulting]" displayFolder="" count="0" memberValueDatatype="20" unbalanced="0"/>
    <cacheHierarchy uniqueName="[FactConsulting].[GEO]" caption="GEO" attribute="1" defaultMemberUniqueName="[FactConsulting].[GEO].[All]" allUniqueName="[FactConsulting].[GEO].[All]" dimensionUniqueName="[FactConsulting]" displayFolder="" count="0" memberValueDatatype="130" unbalanced="0"/>
    <cacheHierarchy uniqueName="[FactConsulting].[North American Industry Classification System (NAICS)]" caption="North American Industry Classification System (NAICS)" attribute="1" defaultMemberUniqueName="[FactConsulting].[North American Industry Classification System (NAICS)].[All]" allUniqueName="[FactConsulting].[North American Industry Classification System (NAICS)].[All]" dimensionUniqueName="[FactConsulting]" displayFolder="" count="0" memberValueDatatype="130" unbalanced="0"/>
    <cacheHierarchy uniqueName="[FactConsulting].[Metric]" caption="Metric" attribute="1" defaultMemberUniqueName="[FactConsulting].[Metric].[All]" allUniqueName="[FactConsulting].[Metric].[All]" dimensionUniqueName="[FactConsulting]" displayFolder="" count="0" memberValueDatatype="130" unbalanced="0"/>
    <cacheHierarchy uniqueName="[FactConsulting].[UOM]" caption="UOM" attribute="1" defaultMemberUniqueName="[FactConsulting].[UOM].[All]" allUniqueName="[FactConsulting].[UOM].[All]" dimensionUniqueName="[FactConsulting]" displayFolder="" count="0" memberValueDatatype="130" unbalanced="0"/>
    <cacheHierarchy uniqueName="[FactConsulting].[SCALAR_FACTOR]" caption="SCALAR_FACTOR" attribute="1" defaultMemberUniqueName="[FactConsulting].[SCALAR_FACTOR].[All]" allUniqueName="[FactConsulting].[SCALAR_FACTOR].[All]" dimensionUniqueName="[FactConsulting]" displayFolder="" count="0" memberValueDatatype="130" unbalanced="0"/>
    <cacheHierarchy uniqueName="[FactConsulting].[VALUE]" caption="VALUE" attribute="1" defaultMemberUniqueName="[FactConsulting].[VALUE].[All]" allUniqueName="[FactConsulting].[VALUE].[All]" dimensionUniqueName="[FactConsulting]" displayFolder="" count="0" memberValueDatatype="5" unbalanced="0"/>
    <cacheHierarchy uniqueName="[FactConsulting].[Value_Std]" caption="Value_Std" attribute="1" defaultMemberUniqueName="[FactConsulting].[Value_Std].[All]" allUniqueName="[FactConsulting].[Value_Std].[All]" dimensionUniqueName="[FactConsulting]" displayFolder="" count="0" memberValueDatatype="5" unbalanced="0"/>
    <cacheHierarchy uniqueName="[Measures].[Expenses ($M)]" caption="Expenses ($M)" measure="1" displayFolder="" measureGroup="FactConsulting" count="0"/>
    <cacheHierarchy uniqueName="[Measures].[Salaries ($M)]" caption="Salaries ($M)" measure="1" displayFolder="" measureGroup="FactConsulting" count="0"/>
    <cacheHierarchy uniqueName="[Measures].[Profit ($M)]" caption="Profit ($M)" measure="1" displayFolder="" measureGroup="FactConsulting" count="0"/>
    <cacheHierarchy uniqueName="[Measures].[Profit Margin (%)]" caption="Profit Margin (%)" measure="1" displayFolder="" measureGroup="FactConsulting" count="0" oneField="1">
      <fieldsUsage count="1">
        <fieldUsage x="2"/>
      </fieldsUsage>
    </cacheHierarchy>
    <cacheHierarchy uniqueName="[Measures].[Revenue YoY %]" caption="Revenue YoY %" measure="1" displayFolder="" measureGroup="FactConsulting" count="0"/>
    <cacheHierarchy uniqueName="[Measures].[Revenue ($M)]" caption="Revenue ($M)" measure="1" displayFolder="" measureGroup="FactConsulting" count="0" oneField="1">
      <fieldsUsage count="1">
        <fieldUsage x="1"/>
      </fieldsUsage>
    </cacheHierarchy>
    <cacheHierarchy uniqueName="[Measures].[__XL_Count FactConsulting]" caption="__XL_Count FactConsulting" measure="1" displayFolder="" measureGroup="FactConsulting" count="0" hidden="1"/>
    <cacheHierarchy uniqueName="[Measures].[__XL_Count DimDate]" caption="__XL_Count DimDate" measure="1" displayFolder="" measureGroup="DimDate" count="0" hidden="1"/>
    <cacheHierarchy uniqueName="[Measures].[__XL_Count DimGeo]" caption="__XL_Count DimGeo" measure="1" displayFolder="" measureGroup="DimGeo" count="0" hidden="1"/>
    <cacheHierarchy uniqueName="[Measures].[__XL_Count DimNAICS]" caption="__XL_Count DimNAICS" measure="1" displayFolder="" measureGroup="DimNAICS" count="0" hidden="1"/>
    <cacheHierarchy uniqueName="[Measures].[__XL_Count DimMetric]" caption="__XL_Count DimMetric" measure="1" displayFolder="" measureGroup="DimMetric" count="0" hidden="1"/>
    <cacheHierarchy uniqueName="[Measures].[__No measures defined]" caption="__No measures defined" measure="1" displayFolder="" count="0" hidden="1"/>
  </cacheHierarchies>
  <kpis count="0"/>
  <dimensions count="6">
    <dimension name="DimDate" uniqueName="[DimDate]" caption="DimDate"/>
    <dimension name="DimGeo" uniqueName="[DimGeo]" caption="DimGeo"/>
    <dimension name="DimMetric" uniqueName="[DimMetric]" caption="DimMetric"/>
    <dimension name="DimNAICS" uniqueName="[DimNAICS]" caption="DimNAICS"/>
    <dimension name="FactConsulting" uniqueName="[FactConsulting]" caption="FactConsulting"/>
    <dimension measure="1" name="Measures" uniqueName="[Measures]" caption="Measures"/>
  </dimensions>
  <measureGroups count="5">
    <measureGroup name="DimDate" caption="DimDate"/>
    <measureGroup name="DimGeo" caption="DimGeo"/>
    <measureGroup name="DimMetric" caption="DimMetric"/>
    <measureGroup name="DimNAICS" caption="DimNAICS"/>
    <measureGroup name="FactConsulting" caption="FactConsulting"/>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sohal" refreshedDate="46071.956149768521" createdVersion="5" refreshedVersion="8" minRefreshableVersion="3" recordCount="0" supportSubquery="1" supportAdvancedDrill="1" xr:uid="{D65000D7-3E63-46C9-97B8-57D23D0B047E}">
  <cacheSource type="external" connectionId="6"/>
  <cacheFields count="6">
    <cacheField name="[Measures].[Revenue ($M)]" caption="Revenue ($M)" numFmtId="0" hierarchy="19" level="32767"/>
    <cacheField name="[Measures].[Expenses ($M)]" caption="Expenses ($M)" numFmtId="0" hierarchy="14" level="32767"/>
    <cacheField name="[Measures].[Profit ($M)]" caption="Profit ($M)" numFmtId="0" hierarchy="16" level="32767"/>
    <cacheField name="[Measures].[Profit Margin (%)]" caption="Profit Margin (%)" numFmtId="0" hierarchy="17" level="32767"/>
    <cacheField name="[Measures].[Revenue YoY %]" caption="Revenue YoY %" numFmtId="0" hierarchy="18" level="32767"/>
    <cacheField name="[DimDate].[DimDate].[DimDate]" caption="DimDate" numFmtId="0" level="1">
      <sharedItems containsSemiMixedTypes="0" containsString="0" containsNumber="1" containsInteger="1" minValue="2012" maxValue="2024" count="13">
        <n v="2012"/>
        <n v="2013"/>
        <n v="2014"/>
        <n v="2015"/>
        <n v="2016"/>
        <n v="2017"/>
        <n v="2018"/>
        <n v="2019"/>
        <n v="2020"/>
        <n v="2021"/>
        <n v="2022"/>
        <n v="2023"/>
        <n v="2024"/>
      </sharedItems>
      <extLst>
        <ext xmlns:x15="http://schemas.microsoft.com/office/spreadsheetml/2010/11/main" uri="{4F2E5C28-24EA-4eb8-9CBF-B6C8F9C3D259}">
          <x15:cachedUniqueNames>
            <x15:cachedUniqueName index="0" name="[DimDate].[DimDate].&amp;[2012]"/>
            <x15:cachedUniqueName index="1" name="[DimDate].[DimDate].&amp;[2013]"/>
            <x15:cachedUniqueName index="2" name="[DimDate].[DimDate].&amp;[2014]"/>
            <x15:cachedUniqueName index="3" name="[DimDate].[DimDate].&amp;[2015]"/>
            <x15:cachedUniqueName index="4" name="[DimDate].[DimDate].&amp;[2016]"/>
            <x15:cachedUniqueName index="5" name="[DimDate].[DimDate].&amp;[2017]"/>
            <x15:cachedUniqueName index="6" name="[DimDate].[DimDate].&amp;[2018]"/>
            <x15:cachedUniqueName index="7" name="[DimDate].[DimDate].&amp;[2019]"/>
            <x15:cachedUniqueName index="8" name="[DimDate].[DimDate].&amp;[2020]"/>
            <x15:cachedUniqueName index="9" name="[DimDate].[DimDate].&amp;[2021]"/>
            <x15:cachedUniqueName index="10" name="[DimDate].[DimDate].&amp;[2022]"/>
            <x15:cachedUniqueName index="11" name="[DimDate].[DimDate].&amp;[2023]"/>
            <x15:cachedUniqueName index="12" name="[DimDate].[DimDate].&amp;[2024]"/>
          </x15:cachedUniqueNames>
        </ext>
      </extLst>
    </cacheField>
  </cacheFields>
  <cacheHierarchies count="26">
    <cacheHierarchy uniqueName="[DimDate].[DimDate]" caption="DimDate" attribute="1" defaultMemberUniqueName="[DimDate].[DimDate].[All]" allUniqueName="[DimDate].[DimDate].[All]" dimensionUniqueName="[DimDate]" displayFolder="" count="2" memberValueDatatype="20" unbalanced="0">
      <fieldsUsage count="2">
        <fieldUsage x="-1"/>
        <fieldUsage x="5"/>
      </fieldsUsage>
    </cacheHierarchy>
    <cacheHierarchy uniqueName="[DimDate].[Date]" caption="Date" attribute="1" time="1" defaultMemberUniqueName="[DimDate].[Date].[All]" allUniqueName="[DimDate].[Date].[All]" dimensionUniqueName="[DimDate]" displayFolder="" count="0" memberValueDatatype="7" unbalanced="0"/>
    <cacheHierarchy uniqueName="[DimGeo].[DimGeo]" caption="DimGeo" attribute="1" defaultMemberUniqueName="[DimGeo].[DimGeo].[All]" allUniqueName="[DimGeo].[DimGeo].[All]" dimensionUniqueName="[DimGeo]" displayFolder="" count="0" memberValueDatatype="130" unbalanced="0"/>
    <cacheHierarchy uniqueName="[DimMetric].[DimMetric]" caption="DimMetric" attribute="1" defaultMemberUniqueName="[DimMetric].[DimMetric].[All]" allUniqueName="[DimMetric].[DimMetric].[All]" dimensionUniqueName="[DimMetric]" displayFolder="" count="0" memberValueDatatype="130" unbalanced="0"/>
    <cacheHierarchy uniqueName="[DimMetric].[UOM]" caption="UOM" attribute="1" defaultMemberUniqueName="[DimMetric].[UOM].[All]" allUniqueName="[DimMetric].[UOM].[All]" dimensionUniqueName="[DimMetric]" displayFolder="" count="0" memberValueDatatype="130" unbalanced="0"/>
    <cacheHierarchy uniqueName="[DimNAICS].[DimNAICS]" caption="DimNAICS" attribute="1" defaultMemberUniqueName="[DimNAICS].[DimNAICS].[All]" allUniqueName="[DimNAICS].[DimNAICS].[All]" dimensionUniqueName="[DimNAICS]" displayFolder="" count="0" memberValueDatatype="130" unbalanced="0"/>
    <cacheHierarchy uniqueName="[FactConsulting].[Year]" caption="Year" attribute="1" defaultMemberUniqueName="[FactConsulting].[Year].[All]" allUniqueName="[FactConsulting].[Year].[All]" dimensionUniqueName="[FactConsulting]" displayFolder="" count="2" memberValueDatatype="20" unbalanced="0"/>
    <cacheHierarchy uniqueName="[FactConsulting].[GEO]" caption="GEO" attribute="1" defaultMemberUniqueName="[FactConsulting].[GEO].[All]" allUniqueName="[FactConsulting].[GEO].[All]" dimensionUniqueName="[FactConsulting]" displayFolder="" count="0" memberValueDatatype="130" unbalanced="0"/>
    <cacheHierarchy uniqueName="[FactConsulting].[North American Industry Classification System (NAICS)]" caption="North American Industry Classification System (NAICS)" attribute="1" defaultMemberUniqueName="[FactConsulting].[North American Industry Classification System (NAICS)].[All]" allUniqueName="[FactConsulting].[North American Industry Classification System (NAICS)].[All]" dimensionUniqueName="[FactConsulting]" displayFolder="" count="0" memberValueDatatype="130" unbalanced="0"/>
    <cacheHierarchy uniqueName="[FactConsulting].[Metric]" caption="Metric" attribute="1" defaultMemberUniqueName="[FactConsulting].[Metric].[All]" allUniqueName="[FactConsulting].[Metric].[All]" dimensionUniqueName="[FactConsulting]" displayFolder="" count="0" memberValueDatatype="130" unbalanced="0"/>
    <cacheHierarchy uniqueName="[FactConsulting].[UOM]" caption="UOM" attribute="1" defaultMemberUniqueName="[FactConsulting].[UOM].[All]" allUniqueName="[FactConsulting].[UOM].[All]" dimensionUniqueName="[FactConsulting]" displayFolder="" count="0" memberValueDatatype="130" unbalanced="0"/>
    <cacheHierarchy uniqueName="[FactConsulting].[SCALAR_FACTOR]" caption="SCALAR_FACTOR" attribute="1" defaultMemberUniqueName="[FactConsulting].[SCALAR_FACTOR].[All]" allUniqueName="[FactConsulting].[SCALAR_FACTOR].[All]" dimensionUniqueName="[FactConsulting]" displayFolder="" count="0" memberValueDatatype="130" unbalanced="0"/>
    <cacheHierarchy uniqueName="[FactConsulting].[VALUE]" caption="VALUE" attribute="1" defaultMemberUniqueName="[FactConsulting].[VALUE].[All]" allUniqueName="[FactConsulting].[VALUE].[All]" dimensionUniqueName="[FactConsulting]" displayFolder="" count="0" memberValueDatatype="5" unbalanced="0"/>
    <cacheHierarchy uniqueName="[FactConsulting].[Value_Std]" caption="Value_Std" attribute="1" defaultMemberUniqueName="[FactConsulting].[Value_Std].[All]" allUniqueName="[FactConsulting].[Value_Std].[All]" dimensionUniqueName="[FactConsulting]" displayFolder="" count="0" memberValueDatatype="5" unbalanced="0"/>
    <cacheHierarchy uniqueName="[Measures].[Expenses ($M)]" caption="Expenses ($M)" measure="1" displayFolder="" measureGroup="FactConsulting" count="0" oneField="1">
      <fieldsUsage count="1">
        <fieldUsage x="1"/>
      </fieldsUsage>
    </cacheHierarchy>
    <cacheHierarchy uniqueName="[Measures].[Salaries ($M)]" caption="Salaries ($M)" measure="1" displayFolder="" measureGroup="FactConsulting" count="0"/>
    <cacheHierarchy uniqueName="[Measures].[Profit ($M)]" caption="Profit ($M)" measure="1" displayFolder="" measureGroup="FactConsulting" count="0" oneField="1">
      <fieldsUsage count="1">
        <fieldUsage x="2"/>
      </fieldsUsage>
    </cacheHierarchy>
    <cacheHierarchy uniqueName="[Measures].[Profit Margin (%)]" caption="Profit Margin (%)" measure="1" displayFolder="" measureGroup="FactConsulting" count="0" oneField="1">
      <fieldsUsage count="1">
        <fieldUsage x="3"/>
      </fieldsUsage>
    </cacheHierarchy>
    <cacheHierarchy uniqueName="[Measures].[Revenue YoY %]" caption="Revenue YoY %" measure="1" displayFolder="" measureGroup="FactConsulting" count="0" oneField="1">
      <fieldsUsage count="1">
        <fieldUsage x="4"/>
      </fieldsUsage>
    </cacheHierarchy>
    <cacheHierarchy uniqueName="[Measures].[Revenue ($M)]" caption="Revenue ($M)" measure="1" displayFolder="" measureGroup="FactConsulting" count="0" oneField="1">
      <fieldsUsage count="1">
        <fieldUsage x="0"/>
      </fieldsUsage>
    </cacheHierarchy>
    <cacheHierarchy uniqueName="[Measures].[__XL_Count FactConsulting]" caption="__XL_Count FactConsulting" measure="1" displayFolder="" measureGroup="FactConsulting" count="0" hidden="1"/>
    <cacheHierarchy uniqueName="[Measures].[__XL_Count DimDate]" caption="__XL_Count DimDate" measure="1" displayFolder="" measureGroup="DimDate" count="0" hidden="1"/>
    <cacheHierarchy uniqueName="[Measures].[__XL_Count DimGeo]" caption="__XL_Count DimGeo" measure="1" displayFolder="" measureGroup="DimGeo" count="0" hidden="1"/>
    <cacheHierarchy uniqueName="[Measures].[__XL_Count DimNAICS]" caption="__XL_Count DimNAICS" measure="1" displayFolder="" measureGroup="DimNAICS" count="0" hidden="1"/>
    <cacheHierarchy uniqueName="[Measures].[__XL_Count DimMetric]" caption="__XL_Count DimMetric" measure="1" displayFolder="" measureGroup="DimMetric" count="0" hidden="1"/>
    <cacheHierarchy uniqueName="[Measures].[__No measures defined]" caption="__No measures defined" measure="1" displayFolder="" count="0" hidden="1"/>
  </cacheHierarchies>
  <kpis count="0"/>
  <dimensions count="6">
    <dimension name="DimDate" uniqueName="[DimDate]" caption="DimDate"/>
    <dimension name="DimGeo" uniqueName="[DimGeo]" caption="DimGeo"/>
    <dimension name="DimMetric" uniqueName="[DimMetric]" caption="DimMetric"/>
    <dimension name="DimNAICS" uniqueName="[DimNAICS]" caption="DimNAICS"/>
    <dimension name="FactConsulting" uniqueName="[FactConsulting]" caption="FactConsulting"/>
    <dimension measure="1" name="Measures" uniqueName="[Measures]" caption="Measures"/>
  </dimensions>
  <measureGroups count="5">
    <measureGroup name="DimDate" caption="DimDate"/>
    <measureGroup name="DimGeo" caption="DimGeo"/>
    <measureGroup name="DimMetric" caption="DimMetric"/>
    <measureGroup name="DimNAICS" caption="DimNAICS"/>
    <measureGroup name="FactConsulting" caption="FactConsulting"/>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sohal" refreshedDate="46071.957689583331" createdVersion="8" refreshedVersion="8" minRefreshableVersion="3" recordCount="0" supportSubquery="1" supportAdvancedDrill="1" xr:uid="{4C01620C-71CE-4B4A-97F6-2003948EE301}">
  <cacheSource type="external" connectionId="6"/>
  <cacheFields count="4">
    <cacheField name="[DimNAICS].[DimNAICS].[DimNAICS]" caption="DimNAICS" numFmtId="0" hierarchy="5" level="1">
      <sharedItems count="3">
        <s v="Environmental and other scientific and technical consulting services"/>
        <s v="Management consulting services [54161]"/>
        <s v="Management, scientific and technical consulting services [5416]"/>
      </sharedItems>
    </cacheField>
    <cacheField name="[DimDate].[DimDate].[DimDate]" caption="DimDate" numFmtId="0" level="1">
      <sharedItems containsSemiMixedTypes="0" containsString="0" containsNumber="1" containsInteger="1" minValue="2012" maxValue="2024" count="13">
        <n v="2012"/>
        <n v="2013"/>
        <n v="2014"/>
        <n v="2015"/>
        <n v="2016"/>
        <n v="2017"/>
        <n v="2018"/>
        <n v="2019"/>
        <n v="2020"/>
        <n v="2021"/>
        <n v="2022"/>
        <n v="2023"/>
        <n v="2024"/>
      </sharedItems>
      <extLst>
        <ext xmlns:x15="http://schemas.microsoft.com/office/spreadsheetml/2010/11/main" uri="{4F2E5C28-24EA-4eb8-9CBF-B6C8F9C3D259}">
          <x15:cachedUniqueNames>
            <x15:cachedUniqueName index="0" name="[DimDate].[DimDate].&amp;[2012]"/>
            <x15:cachedUniqueName index="1" name="[DimDate].[DimDate].&amp;[2013]"/>
            <x15:cachedUniqueName index="2" name="[DimDate].[DimDate].&amp;[2014]"/>
            <x15:cachedUniqueName index="3" name="[DimDate].[DimDate].&amp;[2015]"/>
            <x15:cachedUniqueName index="4" name="[DimDate].[DimDate].&amp;[2016]"/>
            <x15:cachedUniqueName index="5" name="[DimDate].[DimDate].&amp;[2017]"/>
            <x15:cachedUniqueName index="6" name="[DimDate].[DimDate].&amp;[2018]"/>
            <x15:cachedUniqueName index="7" name="[DimDate].[DimDate].&amp;[2019]"/>
            <x15:cachedUniqueName index="8" name="[DimDate].[DimDate].&amp;[2020]"/>
            <x15:cachedUniqueName index="9" name="[DimDate].[DimDate].&amp;[2021]"/>
            <x15:cachedUniqueName index="10" name="[DimDate].[DimDate].&amp;[2022]"/>
            <x15:cachedUniqueName index="11" name="[DimDate].[DimDate].&amp;[2023]"/>
            <x15:cachedUniqueName index="12" name="[DimDate].[DimDate].&amp;[2024]"/>
          </x15:cachedUniqueNames>
        </ext>
      </extLst>
    </cacheField>
    <cacheField name="[Measures].[Revenue ($M)]" caption="Revenue ($M)" numFmtId="0" hierarchy="19" level="32767"/>
    <cacheField name="[Measures].[Profit Margin (%)]" caption="Profit Margin (%)" numFmtId="0" hierarchy="17" level="32767"/>
  </cacheFields>
  <cacheHierarchies count="26">
    <cacheHierarchy uniqueName="[DimDate].[DimDate]" caption="DimDate" attribute="1" defaultMemberUniqueName="[DimDate].[DimDate].[All]" allUniqueName="[DimDate].[DimDate].[All]" dimensionUniqueName="[DimDate]" displayFolder="" count="2" memberValueDatatype="20" unbalanced="0">
      <fieldsUsage count="2">
        <fieldUsage x="-1"/>
        <fieldUsage x="1"/>
      </fieldsUsage>
    </cacheHierarchy>
    <cacheHierarchy uniqueName="[DimDate].[Date]" caption="Date" attribute="1" time="1" defaultMemberUniqueName="[DimDate].[Date].[All]" allUniqueName="[DimDate].[Date].[All]" dimensionUniqueName="[DimDate]" displayFolder="" count="0" memberValueDatatype="7" unbalanced="0"/>
    <cacheHierarchy uniqueName="[DimGeo].[DimGeo]" caption="DimGeo" attribute="1" defaultMemberUniqueName="[DimGeo].[DimGeo].[All]" allUniqueName="[DimGeo].[DimGeo].[All]" dimensionUniqueName="[DimGeo]" displayFolder="" count="0" memberValueDatatype="130" unbalanced="0"/>
    <cacheHierarchy uniqueName="[DimMetric].[DimMetric]" caption="DimMetric" attribute="1" defaultMemberUniqueName="[DimMetric].[DimMetric].[All]" allUniqueName="[DimMetric].[DimMetric].[All]" dimensionUniqueName="[DimMetric]" displayFolder="" count="0" memberValueDatatype="130" unbalanced="0"/>
    <cacheHierarchy uniqueName="[DimMetric].[UOM]" caption="UOM" attribute="1" defaultMemberUniqueName="[DimMetric].[UOM].[All]" allUniqueName="[DimMetric].[UOM].[All]" dimensionUniqueName="[DimMetric]" displayFolder="" count="0" memberValueDatatype="130" unbalanced="0"/>
    <cacheHierarchy uniqueName="[DimNAICS].[DimNAICS]" caption="DimNAICS" attribute="1" defaultMemberUniqueName="[DimNAICS].[DimNAICS].[All]" allUniqueName="[DimNAICS].[DimNAICS].[All]" dimensionUniqueName="[DimNAICS]" displayFolder="" count="2" memberValueDatatype="130" unbalanced="0">
      <fieldsUsage count="2">
        <fieldUsage x="-1"/>
        <fieldUsage x="0"/>
      </fieldsUsage>
    </cacheHierarchy>
    <cacheHierarchy uniqueName="[FactConsulting].[Year]" caption="Year" attribute="1" defaultMemberUniqueName="[FactConsulting].[Year].[All]" allUniqueName="[FactConsulting].[Year].[All]" dimensionUniqueName="[FactConsulting]" displayFolder="" count="2" memberValueDatatype="20" unbalanced="0"/>
    <cacheHierarchy uniqueName="[FactConsulting].[GEO]" caption="GEO" attribute="1" defaultMemberUniqueName="[FactConsulting].[GEO].[All]" allUniqueName="[FactConsulting].[GEO].[All]" dimensionUniqueName="[FactConsulting]" displayFolder="" count="0" memberValueDatatype="130" unbalanced="0"/>
    <cacheHierarchy uniqueName="[FactConsulting].[North American Industry Classification System (NAICS)]" caption="North American Industry Classification System (NAICS)" attribute="1" defaultMemberUniqueName="[FactConsulting].[North American Industry Classification System (NAICS)].[All]" allUniqueName="[FactConsulting].[North American Industry Classification System (NAICS)].[All]" dimensionUniqueName="[FactConsulting]" displayFolder="" count="2" memberValueDatatype="130" unbalanced="0"/>
    <cacheHierarchy uniqueName="[FactConsulting].[Metric]" caption="Metric" attribute="1" defaultMemberUniqueName="[FactConsulting].[Metric].[All]" allUniqueName="[FactConsulting].[Metric].[All]" dimensionUniqueName="[FactConsulting]" displayFolder="" count="0" memberValueDatatype="130" unbalanced="0"/>
    <cacheHierarchy uniqueName="[FactConsulting].[UOM]" caption="UOM" attribute="1" defaultMemberUniqueName="[FactConsulting].[UOM].[All]" allUniqueName="[FactConsulting].[UOM].[All]" dimensionUniqueName="[FactConsulting]" displayFolder="" count="0" memberValueDatatype="130" unbalanced="0"/>
    <cacheHierarchy uniqueName="[FactConsulting].[SCALAR_FACTOR]" caption="SCALAR_FACTOR" attribute="1" defaultMemberUniqueName="[FactConsulting].[SCALAR_FACTOR].[All]" allUniqueName="[FactConsulting].[SCALAR_FACTOR].[All]" dimensionUniqueName="[FactConsulting]" displayFolder="" count="0" memberValueDatatype="130" unbalanced="0"/>
    <cacheHierarchy uniqueName="[FactConsulting].[VALUE]" caption="VALUE" attribute="1" defaultMemberUniqueName="[FactConsulting].[VALUE].[All]" allUniqueName="[FactConsulting].[VALUE].[All]" dimensionUniqueName="[FactConsulting]" displayFolder="" count="0" memberValueDatatype="5" unbalanced="0"/>
    <cacheHierarchy uniqueName="[FactConsulting].[Value_Std]" caption="Value_Std" attribute="1" defaultMemberUniqueName="[FactConsulting].[Value_Std].[All]" allUniqueName="[FactConsulting].[Value_Std].[All]" dimensionUniqueName="[FactConsulting]" displayFolder="" count="0" memberValueDatatype="5" unbalanced="0"/>
    <cacheHierarchy uniqueName="[Measures].[Expenses ($M)]" caption="Expenses ($M)" measure="1" displayFolder="" measureGroup="FactConsulting" count="0"/>
    <cacheHierarchy uniqueName="[Measures].[Salaries ($M)]" caption="Salaries ($M)" measure="1" displayFolder="" measureGroup="FactConsulting" count="0"/>
    <cacheHierarchy uniqueName="[Measures].[Profit ($M)]" caption="Profit ($M)" measure="1" displayFolder="" measureGroup="FactConsulting" count="0"/>
    <cacheHierarchy uniqueName="[Measures].[Profit Margin (%)]" caption="Profit Margin (%)" measure="1" displayFolder="" measureGroup="FactConsulting" count="0" oneField="1">
      <fieldsUsage count="1">
        <fieldUsage x="3"/>
      </fieldsUsage>
    </cacheHierarchy>
    <cacheHierarchy uniqueName="[Measures].[Revenue YoY %]" caption="Revenue YoY %" measure="1" displayFolder="" measureGroup="FactConsulting" count="0"/>
    <cacheHierarchy uniqueName="[Measures].[Revenue ($M)]" caption="Revenue ($M)" measure="1" displayFolder="" measureGroup="FactConsulting" count="0" oneField="1">
      <fieldsUsage count="1">
        <fieldUsage x="2"/>
      </fieldsUsage>
    </cacheHierarchy>
    <cacheHierarchy uniqueName="[Measures].[__XL_Count FactConsulting]" caption="__XL_Count FactConsulting" measure="1" displayFolder="" measureGroup="FactConsulting" count="0" hidden="1"/>
    <cacheHierarchy uniqueName="[Measures].[__XL_Count DimDate]" caption="__XL_Count DimDate" measure="1" displayFolder="" measureGroup="DimDate" count="0" hidden="1"/>
    <cacheHierarchy uniqueName="[Measures].[__XL_Count DimGeo]" caption="__XL_Count DimGeo" measure="1" displayFolder="" measureGroup="DimGeo" count="0" hidden="1"/>
    <cacheHierarchy uniqueName="[Measures].[__XL_Count DimNAICS]" caption="__XL_Count DimNAICS" measure="1" displayFolder="" measureGroup="DimNAICS" count="0" hidden="1"/>
    <cacheHierarchy uniqueName="[Measures].[__XL_Count DimMetric]" caption="__XL_Count DimMetric" measure="1" displayFolder="" measureGroup="DimMetric" count="0" hidden="1"/>
    <cacheHierarchy uniqueName="[Measures].[__No measures defined]" caption="__No measures defined" measure="1" displayFolder="" count="0" hidden="1"/>
  </cacheHierarchies>
  <kpis count="0"/>
  <dimensions count="6">
    <dimension name="DimDate" uniqueName="[DimDate]" caption="DimDate"/>
    <dimension name="DimGeo" uniqueName="[DimGeo]" caption="DimGeo"/>
    <dimension name="DimMetric" uniqueName="[DimMetric]" caption="DimMetric"/>
    <dimension name="DimNAICS" uniqueName="[DimNAICS]" caption="DimNAICS"/>
    <dimension name="FactConsulting" uniqueName="[FactConsulting]" caption="FactConsulting"/>
    <dimension measure="1" name="Measures" uniqueName="[Measures]" caption="Measures"/>
  </dimensions>
  <measureGroups count="5">
    <measureGroup name="DimDate" caption="DimDate"/>
    <measureGroup name="DimGeo" caption="DimGeo"/>
    <measureGroup name="DimMetric" caption="DimMetric"/>
    <measureGroup name="DimNAICS" caption="DimNAICS"/>
    <measureGroup name="FactConsulting" caption="FactConsulting"/>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sohal" refreshedDate="46071.943701620374" createdVersion="3" refreshedVersion="8" minRefreshableVersion="3" recordCount="0" supportSubquery="1" supportAdvancedDrill="1" xr:uid="{E48101B1-0FE0-4FAA-8F33-F3FE23386B7B}">
  <cacheSource type="external" connectionId="6">
    <extLst>
      <ext xmlns:x14="http://schemas.microsoft.com/office/spreadsheetml/2009/9/main" uri="{F057638F-6D5F-4e77-A914-E7F072B9BCA8}">
        <x14:sourceConnection name="ThisWorkbookDataModel"/>
      </ext>
    </extLst>
  </cacheSource>
  <cacheFields count="0"/>
  <cacheHierarchies count="26">
    <cacheHierarchy uniqueName="[DimDate].[DimDate]" caption="DimDate" attribute="1" defaultMemberUniqueName="[DimDate].[DimDate].[All]" allUniqueName="[DimDate].[DimDate].[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Geo].[DimGeo]" caption="DimGeo" attribute="1" defaultMemberUniqueName="[DimGeo].[DimGeo].[All]" allUniqueName="[DimGeo].[DimGeo].[All]" dimensionUniqueName="[DimGeo]" displayFolder="" count="0" memberValueDatatype="130" unbalanced="0"/>
    <cacheHierarchy uniqueName="[DimMetric].[DimMetric]" caption="DimMetric" attribute="1" defaultMemberUniqueName="[DimMetric].[DimMetric].[All]" allUniqueName="[DimMetric].[DimMetric].[All]" dimensionUniqueName="[DimMetric]" displayFolder="" count="0" memberValueDatatype="130" unbalanced="0"/>
    <cacheHierarchy uniqueName="[DimMetric].[UOM]" caption="UOM" attribute="1" defaultMemberUniqueName="[DimMetric].[UOM].[All]" allUniqueName="[DimMetric].[UOM].[All]" dimensionUniqueName="[DimMetric]" displayFolder="" count="0" memberValueDatatype="130" unbalanced="0"/>
    <cacheHierarchy uniqueName="[DimNAICS].[DimNAICS]" caption="DimNAICS" attribute="1" defaultMemberUniqueName="[DimNAICS].[DimNAICS].[All]" allUniqueName="[DimNAICS].[DimNAICS].[All]" dimensionUniqueName="[DimNAICS]" displayFolder="" count="0" memberValueDatatype="130" unbalanced="0"/>
    <cacheHierarchy uniqueName="[FactConsulting].[Year]" caption="Year" attribute="1" defaultMemberUniqueName="[FactConsulting].[Year].[All]" allUniqueName="[FactConsulting].[Year].[All]" dimensionUniqueName="[FactConsulting]" displayFolder="" count="2" memberValueDatatype="20" unbalanced="0"/>
    <cacheHierarchy uniqueName="[FactConsulting].[GEO]" caption="GEO" attribute="1" defaultMemberUniqueName="[FactConsulting].[GEO].[All]" allUniqueName="[FactConsulting].[GEO].[All]" dimensionUniqueName="[FactConsulting]" displayFolder="" count="2" memberValueDatatype="130" unbalanced="0"/>
    <cacheHierarchy uniqueName="[FactConsulting].[North American Industry Classification System (NAICS)]" caption="North American Industry Classification System (NAICS)" attribute="1" defaultMemberUniqueName="[FactConsulting].[North American Industry Classification System (NAICS)].[All]" allUniqueName="[FactConsulting].[North American Industry Classification System (NAICS)].[All]" dimensionUniqueName="[FactConsulting]" displayFolder="" count="2" memberValueDatatype="130" unbalanced="0"/>
    <cacheHierarchy uniqueName="[FactConsulting].[Metric]" caption="Metric" attribute="1" defaultMemberUniqueName="[FactConsulting].[Metric].[All]" allUniqueName="[FactConsulting].[Metric].[All]" dimensionUniqueName="[FactConsulting]" displayFolder="" count="0" memberValueDatatype="130" unbalanced="0"/>
    <cacheHierarchy uniqueName="[FactConsulting].[UOM]" caption="UOM" attribute="1" defaultMemberUniqueName="[FactConsulting].[UOM].[All]" allUniqueName="[FactConsulting].[UOM].[All]" dimensionUniqueName="[FactConsulting]" displayFolder="" count="0" memberValueDatatype="130" unbalanced="0"/>
    <cacheHierarchy uniqueName="[FactConsulting].[SCALAR_FACTOR]" caption="SCALAR_FACTOR" attribute="1" defaultMemberUniqueName="[FactConsulting].[SCALAR_FACTOR].[All]" allUniqueName="[FactConsulting].[SCALAR_FACTOR].[All]" dimensionUniqueName="[FactConsulting]" displayFolder="" count="0" memberValueDatatype="130" unbalanced="0"/>
    <cacheHierarchy uniqueName="[FactConsulting].[VALUE]" caption="VALUE" attribute="1" defaultMemberUniqueName="[FactConsulting].[VALUE].[All]" allUniqueName="[FactConsulting].[VALUE].[All]" dimensionUniqueName="[FactConsulting]" displayFolder="" count="0" memberValueDatatype="5" unbalanced="0"/>
    <cacheHierarchy uniqueName="[FactConsulting].[Value_Std]" caption="Value_Std" attribute="1" defaultMemberUniqueName="[FactConsulting].[Value_Std].[All]" allUniqueName="[FactConsulting].[Value_Std].[All]" dimensionUniqueName="[FactConsulting]" displayFolder="" count="0" memberValueDatatype="5" unbalanced="0"/>
    <cacheHierarchy uniqueName="[Measures].[Expenses ($M)]" caption="Expenses ($M)" measure="1" displayFolder="" measureGroup="FactConsulting" count="0"/>
    <cacheHierarchy uniqueName="[Measures].[Salaries ($M)]" caption="Salaries ($M)" measure="1" displayFolder="" measureGroup="FactConsulting" count="0"/>
    <cacheHierarchy uniqueName="[Measures].[Profit ($M)]" caption="Profit ($M)" measure="1" displayFolder="" measureGroup="FactConsulting" count="0"/>
    <cacheHierarchy uniqueName="[Measures].[Profit Margin (%)]" caption="Profit Margin (%)" measure="1" displayFolder="" measureGroup="FactConsulting" count="0"/>
    <cacheHierarchy uniqueName="[Measures].[Revenue YoY %]" caption="Revenue YoY %" measure="1" displayFolder="" measureGroup="FactConsulting" count="0"/>
    <cacheHierarchy uniqueName="[Measures].[Revenue ($M)]" caption="Revenue ($M)" measure="1" displayFolder="" measureGroup="FactConsulting" count="0"/>
    <cacheHierarchy uniqueName="[Measures].[__XL_Count FactConsulting]" caption="__XL_Count FactConsulting" measure="1" displayFolder="" measureGroup="FactConsulting" count="0" hidden="1"/>
    <cacheHierarchy uniqueName="[Measures].[__XL_Count DimDate]" caption="__XL_Count DimDate" measure="1" displayFolder="" measureGroup="DimDate" count="0" hidden="1"/>
    <cacheHierarchy uniqueName="[Measures].[__XL_Count DimGeo]" caption="__XL_Count DimGeo" measure="1" displayFolder="" measureGroup="DimGeo" count="0" hidden="1"/>
    <cacheHierarchy uniqueName="[Measures].[__XL_Count DimNAICS]" caption="__XL_Count DimNAICS" measure="1" displayFolder="" measureGroup="DimNAICS" count="0" hidden="1"/>
    <cacheHierarchy uniqueName="[Measures].[__XL_Count DimMetric]" caption="__XL_Count DimMetric" measure="1" displayFolder="" measureGroup="DimMetric"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96465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79813-1D3D-49D1-B91D-92AFC1AE83E8}" name="PivotTable6" cacheId="343" applyNumberFormats="0" applyBorderFormats="0" applyFontFormats="0" applyPatternFormats="0" applyAlignmentFormats="0" applyWidthHeightFormats="1" dataCaption="Values" tag="0ea6cc55-864e-4a79-a276-5195ffed789d" updatedVersion="8" minRefreshableVersion="3" useAutoFormatting="1" itemPrintTitles="1" createdVersion="8" indent="0" outline="1" outlineData="1" multipleFieldFilters="0" rowHeaderCaption="Province/Geography">
  <location ref="A31:C46" firstHeaderRow="0"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fld="2" subtotal="count" baseField="0" baseItem="0"/>
    <dataField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Geo]"/>
        <x15:activeTabTopLevelEntity name="[FactConsul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8BA78-37E2-4265-BF52-B98D17A841CC}" name="PivotTable5" cacheId="385" applyNumberFormats="0" applyBorderFormats="0" applyFontFormats="0" applyPatternFormats="0" applyAlignmentFormats="0" applyWidthHeightFormats="1" dataCaption="Values" tag="3c231dc1-4d0e-44fa-942a-b1a6c6a5a50d" updatedVersion="8" minRefreshableVersion="3" useAutoFormatting="1" itemPrintTitles="1" createdVersion="8" indent="0" outline="1" outlineData="1" multipleFieldFilters="0" rowHeaderCaption="Industry" colHeaderCaption="Year">
  <location ref="A21:AC27" firstHeaderRow="1" firstDataRow="3" firstDataCol="1"/>
  <pivotFields count="4">
    <pivotField axis="axisRow" allDrilled="1" subtotalTop="0" showAll="0" defaultSubtotal="0" defaultAttributeDrillState="1">
      <items count="3">
        <item x="0"/>
        <item x="1"/>
        <item x="2"/>
      </items>
    </pivotField>
    <pivotField axis="axisCol"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s>
  <rowFields count="1">
    <field x="0"/>
  </rowFields>
  <rowItems count="4">
    <i>
      <x/>
    </i>
    <i>
      <x v="1"/>
    </i>
    <i>
      <x v="2"/>
    </i>
    <i t="grand">
      <x/>
    </i>
  </rowItems>
  <colFields count="2">
    <field x="1"/>
    <field x="-2"/>
  </colFields>
  <colItems count="28">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t="grand">
      <x/>
    </i>
    <i t="grand" i="1">
      <x/>
    </i>
  </colItems>
  <dataFields count="2">
    <dataField fld="3"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2">
    <colHierarchyUsage hierarchyUsage="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Consulting]"/>
        <x15:activeTabTopLevelEntity name="[DimNAIC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1134DB-A8F2-451D-8A75-A42D1723AF61}" name="PivotTable1" cacheId="364" applyNumberFormats="0" applyBorderFormats="0" applyFontFormats="0" applyPatternFormats="0" applyAlignmentFormats="0" applyWidthHeightFormats="1" dataCaption="Values" tag="228964fe-d85a-4cd5-831a-10d5f716f7ed" updatedVersion="8" minRefreshableVersion="3" useAutoFormatting="1" subtotalHiddenItems="1" itemPrintTitles="1" createdVersion="5" indent="0" outline="1" outlineData="1" multipleFieldFilters="0">
  <location ref="A3:F17"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s>
  <rowFields count="1">
    <field x="5"/>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fld="4" subtotal="count" baseField="0" baseItem="0"/>
    <dataField fld="3" subtotal="count" baseField="0" baseItem="0"/>
    <dataField fld="2" subtotal="count" baseField="0" baseItem="0"/>
    <dataField fld="1" subtotal="count" baseField="0" baseItem="0"/>
    <dataField fld="0" subtotal="count" baseField="0" baseItem="0"/>
  </dataFields>
  <pivotHierarchies count="2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Consulting]"/>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CA41E9-C807-4972-B0E1-0365E6CFF40E}" name="PivotTable4" cacheId="297" applyNumberFormats="0" applyBorderFormats="0" applyFontFormats="0" applyPatternFormats="0" applyAlignmentFormats="0" applyWidthHeightFormats="1" dataCaption="Values" tag="92053628-68c4-4a50-9e28-ad11e89b323c" updatedVersion="8" minRefreshableVersion="3" useAutoFormatting="1" itemPrintTitles="1" createdVersion="8" indent="0" outline="1" outlineData="1" multipleFieldFilters="0" chartFormat="1">
  <location ref="D73:E7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Consul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1534D4-5B5C-4FEB-9DAE-30969B3E8B5F}" name="PivotTable3" cacheId="294" applyNumberFormats="0" applyBorderFormats="0" applyFontFormats="0" applyPatternFormats="0" applyAlignmentFormats="0" applyWidthHeightFormats="1" dataCaption="Values" tag="d23edb1c-5cd6-40b6-89c5-38fc1305f913" updatedVersion="8" minRefreshableVersion="3" useAutoFormatting="1" itemPrintTitles="1" createdVersion="8" indent="0" outline="1" outlineData="1" multipleFieldFilters="0" chartFormat="1" rowHeaderCaption="Year">
  <location ref="A73:B87"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Consul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8E7D3E-1163-4B51-8F1C-A590CDF5FB12}" name="PivotTable2" cacheId="291" applyNumberFormats="0" applyBorderFormats="0" applyFontFormats="0" applyPatternFormats="0" applyAlignmentFormats="0" applyWidthHeightFormats="1" dataCaption="Values" tag="6d88c11f-d988-45e0-a888-d6651b3cdb3c" updatedVersion="8" minRefreshableVersion="3" useAutoFormatting="1" itemPrintTitles="1" createdVersion="8" indent="0" outline="1" outlineData="1" multipleFieldFilters="0" rowHeaderCaption="Year">
  <location ref="A55:E70" firstHeaderRow="0" firstDataRow="1" firstDataCol="1" rowPageCount="1" colPageCount="1"/>
  <pivotFields count="7">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5"/>
  </rowFields>
  <rowItems count="15">
    <i>
      <x/>
    </i>
    <i>
      <x v="1"/>
    </i>
    <i>
      <x v="2"/>
    </i>
    <i>
      <x v="3"/>
    </i>
    <i>
      <x v="4"/>
    </i>
    <i>
      <x v="5"/>
    </i>
    <i>
      <x v="6"/>
    </i>
    <i>
      <x v="7"/>
    </i>
    <i>
      <x v="8"/>
    </i>
    <i>
      <x v="9"/>
    </i>
    <i>
      <x v="10"/>
    </i>
    <i>
      <x v="11"/>
    </i>
    <i>
      <x v="12"/>
    </i>
    <i>
      <x v="13"/>
    </i>
    <i t="grand">
      <x/>
    </i>
  </rowItems>
  <colFields count="1">
    <field x="-2"/>
  </colFields>
  <colItems count="4">
    <i>
      <x/>
    </i>
    <i i="1">
      <x v="1"/>
    </i>
    <i i="2">
      <x v="2"/>
    </i>
    <i i="3">
      <x v="3"/>
    </i>
  </colItems>
  <pageFields count="1">
    <pageField fld="0" hier="6" name="[FactConsulting].[Year].[All]" cap="All"/>
  </pageFields>
  <dataFields count="4">
    <dataField fld="3" subtotal="count" baseField="0" baseItem="0"/>
    <dataField fld="4" subtotal="count" baseField="0" baseItem="0"/>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Consult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 xr10:uid="{C215169E-5340-40C5-90FB-4E2A54165BE4}" sourceName="[FactConsulting].[GEO]">
  <pivotTables>
    <pivotTable tabId="3" name="PivotTable2"/>
    <pivotTable tabId="3" name="PivotTable3"/>
    <pivotTable tabId="3" name="PivotTable4"/>
  </pivotTables>
  <data>
    <olap pivotCacheId="649646560">
      <levels count="2">
        <level uniqueName="[FactConsulting].[GEO].[(All)]" sourceCaption="(All)" count="0"/>
        <level uniqueName="[FactConsulting].[GEO].[GEO]" sourceCaption="GEO" count="14">
          <ranges>
            <range startItem="0">
              <i n="[FactConsulting].[GEO].&amp;[Alberta]" c="Alberta"/>
              <i n="[FactConsulting].[GEO].&amp;[British Columbia]" c="British Columbia"/>
              <i n="[FactConsulting].[GEO].&amp;[Canada]" c="Canada"/>
              <i n="[FactConsulting].[GEO].&amp;[Manitoba]" c="Manitoba"/>
              <i n="[FactConsulting].[GEO].&amp;[New Brunswick]" c="New Brunswick"/>
              <i n="[FactConsulting].[GEO].&amp;[Newfoundland and Labrador]" c="Newfoundland and Labrador"/>
              <i n="[FactConsulting].[GEO].&amp;[Northwest Territories]" c="Northwest Territories"/>
              <i n="[FactConsulting].[GEO].&amp;[Nova Scotia]" c="Nova Scotia"/>
              <i n="[FactConsulting].[GEO].&amp;[Nunavut]" c="Nunavut"/>
              <i n="[FactConsulting].[GEO].&amp;[Ontario]" c="Ontario"/>
              <i n="[FactConsulting].[GEO].&amp;[Prince Edward Island]" c="Prince Edward Island"/>
              <i n="[FactConsulting].[GEO].&amp;[Quebec]" c="Quebec"/>
              <i n="[FactConsulting].[GEO].&amp;[Saskatchewan]" c="Saskatchewan"/>
              <i n="[FactConsulting].[GEO].&amp;[Yukon]" c="Yukon"/>
            </range>
          </ranges>
        </level>
      </levels>
      <selections count="1">
        <selection n="[FactConsulting].[GEO].[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34BBBE-4F8D-4309-B048-45DB7A688235}" sourceName="[FactConsulting].[Year]">
  <pivotTables>
    <pivotTable tabId="3" name="PivotTable2"/>
    <pivotTable tabId="3" name="PivotTable3"/>
    <pivotTable tabId="3" name="PivotTable4"/>
  </pivotTables>
  <data>
    <olap pivotCacheId="649646560">
      <levels count="2">
        <level uniqueName="[FactConsulting].[Year].[(All)]" sourceCaption="(All)" count="0"/>
        <level uniqueName="[FactConsulting].[Year].[Year]" sourceCaption="Year" count="13">
          <ranges>
            <range startItem="0">
              <i n="[FactConsulting].[Year].&amp;[2012]" c="2012"/>
              <i n="[FactConsulting].[Year].&amp;[2013]" c="2013"/>
              <i n="[FactConsulting].[Year].&amp;[2014]" c="2014"/>
              <i n="[FactConsulting].[Year].&amp;[2015]" c="2015"/>
              <i n="[FactConsulting].[Year].&amp;[2016]" c="2016"/>
              <i n="[FactConsulting].[Year].&amp;[2017]" c="2017"/>
              <i n="[FactConsulting].[Year].&amp;[2018]" c="2018"/>
              <i n="[FactConsulting].[Year].&amp;[2019]" c="2019"/>
              <i n="[FactConsulting].[Year].&amp;[2020]" c="2020"/>
              <i n="[FactConsulting].[Year].&amp;[2021]" c="2021"/>
              <i n="[FactConsulting].[Year].&amp;[2022]" c="2022"/>
              <i n="[FactConsulting].[Year].&amp;[2023]" c="2023"/>
              <i n="[FactConsulting].[Year].&amp;[2024]" c="2024"/>
            </range>
          </ranges>
        </level>
      </levels>
      <selections count="1">
        <selection n="[FactConsulting].[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rth_American_Industry_Classification_System__NAICS" xr10:uid="{F034068B-6F46-4EA8-A83C-7DC6D38D0940}" sourceName="[FactConsulting].[North American Industry Classification System (NAICS)]">
  <pivotTables>
    <pivotTable tabId="3" name="PivotTable2"/>
    <pivotTable tabId="3" name="PivotTable3"/>
    <pivotTable tabId="3" name="PivotTable4"/>
  </pivotTables>
  <data>
    <olap pivotCacheId="649646560">
      <levels count="2">
        <level uniqueName="[FactConsulting].[North American Industry Classification System (NAICS)].[(All)]" sourceCaption="(All)" count="0"/>
        <level uniqueName="[FactConsulting].[North American Industry Classification System (NAICS)].[North American Industry Classification System (NAICS)]" sourceCaption="North American Industry Classification System (NAICS)" count="3">
          <ranges>
            <range startItem="0">
              <i n="[FactConsulting].[North American Industry Classification System (NAICS)].&amp;[Environmental and other scientific and technical consulting services]" c="Environmental and other scientific and technical consulting services"/>
              <i n="[FactConsulting].[North American Industry Classification System (NAICS)].&amp;[Management consulting services [54161]]]" c="Management consulting services [54161]"/>
              <i n="[FactConsulting].[North American Industry Classification System (NAICS)].&amp;[Management, scientific and technical consulting services [5416]]]" c="Management, scientific and technical consulting services [5416]"/>
            </range>
          </ranges>
        </level>
      </levels>
      <selections count="1">
        <selection n="[FactConsulting].[North American Industry Classification System (NAIC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 xr10:uid="{74268D97-264F-4C1B-A1E8-9B9C7188C4FB}" cache="Slicer_GEO" caption="GEO" level="1" rowHeight="251883"/>
  <slicer name="Year" xr10:uid="{6B98F27C-7C4F-4A02-BCCE-47D98033892E}" cache="Slicer_Year" caption="Year" startItem="6" level="1" rowHeight="251883"/>
  <slicer name="North American Industry Classification System (NAICS)" xr10:uid="{0ED04225-4B48-4D99-BBFE-584C0853ABB9}" cache="Slicer_North_American_Industry_Classification_System__NAICS" caption="North American Industry Classification System (NAICS)"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053FBD-C13A-4C99-BB94-D611013A84C8}" name="Table1" displayName="Table1" ref="A1:A14" totalsRowShown="0">
  <autoFilter ref="A1:A14" xr:uid="{40053FBD-C13A-4C99-BB94-D611013A84C8}"/>
  <tableColumns count="1">
    <tableColumn id="1" xr3:uid="{71BAB23B-3258-4DF6-81CD-DD522F6EB619}" name="Dim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DBA2FC-92F3-45EA-84C5-42399DC5D916}" name="Table5" displayName="Table5" ref="C1:C14" totalsRowShown="0">
  <autoFilter ref="C1:C14" xr:uid="{0FDBA2FC-92F3-45EA-84C5-42399DC5D916}"/>
  <tableColumns count="1">
    <tableColumn id="1" xr3:uid="{88F69FE5-9196-4507-95E5-35F419DADDDA}" name="DimGe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1559CA-753A-4813-8317-70E31394EA81}" name="Table6" displayName="Table6" ref="E1:E4" totalsRowShown="0">
  <autoFilter ref="E1:E4" xr:uid="{F71559CA-753A-4813-8317-70E31394EA81}"/>
  <tableColumns count="1">
    <tableColumn id="1" xr3:uid="{836FBF8B-3F5A-4E89-B5FA-3624C9C84936}" name="DimNAIC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3D106F-C9A9-46C3-B8C1-C1C0A1802F01}" name="Table7" displayName="Table7" ref="G1:H5" totalsRowShown="0" headerRowDxfId="0">
  <autoFilter ref="G1:H5" xr:uid="{963D106F-C9A9-46C3-B8C1-C1C0A1802F01}"/>
  <tableColumns count="2">
    <tableColumn id="1" xr3:uid="{1A698961-7D90-4174-AD0E-B562CE2FB386}" name="DimMetric"/>
    <tableColumn id="2" xr3:uid="{1B2C4E05-FD56-436A-B7C9-10479C241E6B}" name="U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7C94B-68AC-4F8F-88F5-B7EFF44662C9}">
  <dimension ref="A1:H14"/>
  <sheetViews>
    <sheetView tabSelected="1" workbookViewId="0"/>
  </sheetViews>
  <sheetFormatPr defaultRowHeight="14.5" x14ac:dyDescent="0.35"/>
  <cols>
    <col min="1" max="1" width="10.1796875" customWidth="1"/>
    <col min="3" max="3" width="23.54296875" bestFit="1" customWidth="1"/>
    <col min="5" max="5" width="56.26953125" bestFit="1" customWidth="1"/>
    <col min="7" max="7" width="35.7265625" bestFit="1" customWidth="1"/>
    <col min="8" max="8" width="10.453125" customWidth="1"/>
  </cols>
  <sheetData>
    <row r="1" spans="1:8" x14ac:dyDescent="0.35">
      <c r="A1" t="s">
        <v>0</v>
      </c>
      <c r="C1" t="s">
        <v>1</v>
      </c>
      <c r="E1" t="s">
        <v>2</v>
      </c>
      <c r="G1" s="1" t="s">
        <v>3</v>
      </c>
      <c r="H1" s="1" t="s">
        <v>4</v>
      </c>
    </row>
    <row r="2" spans="1:8" x14ac:dyDescent="0.35">
      <c r="A2">
        <v>2012</v>
      </c>
      <c r="C2" t="s">
        <v>5</v>
      </c>
      <c r="E2" t="s">
        <v>6</v>
      </c>
      <c r="G2" t="s">
        <v>7</v>
      </c>
      <c r="H2" t="s">
        <v>8</v>
      </c>
    </row>
    <row r="3" spans="1:8" x14ac:dyDescent="0.35">
      <c r="A3">
        <v>2013</v>
      </c>
      <c r="C3" t="s">
        <v>9</v>
      </c>
      <c r="E3" t="s">
        <v>10</v>
      </c>
      <c r="G3" t="s">
        <v>11</v>
      </c>
      <c r="H3" t="s">
        <v>8</v>
      </c>
    </row>
    <row r="4" spans="1:8" x14ac:dyDescent="0.35">
      <c r="A4">
        <v>2014</v>
      </c>
      <c r="C4" t="s">
        <v>12</v>
      </c>
      <c r="E4" t="s">
        <v>13</v>
      </c>
      <c r="G4" t="s">
        <v>14</v>
      </c>
      <c r="H4" t="s">
        <v>8</v>
      </c>
    </row>
    <row r="5" spans="1:8" x14ac:dyDescent="0.35">
      <c r="A5">
        <v>2015</v>
      </c>
      <c r="C5" t="s">
        <v>15</v>
      </c>
      <c r="G5" t="s">
        <v>16</v>
      </c>
      <c r="H5" t="s">
        <v>17</v>
      </c>
    </row>
    <row r="6" spans="1:8" x14ac:dyDescent="0.35">
      <c r="A6">
        <v>2016</v>
      </c>
      <c r="C6" t="s">
        <v>18</v>
      </c>
    </row>
    <row r="7" spans="1:8" x14ac:dyDescent="0.35">
      <c r="A7">
        <v>2017</v>
      </c>
      <c r="C7" t="s">
        <v>19</v>
      </c>
    </row>
    <row r="8" spans="1:8" x14ac:dyDescent="0.35">
      <c r="A8">
        <v>2018</v>
      </c>
      <c r="C8" t="s">
        <v>20</v>
      </c>
    </row>
    <row r="9" spans="1:8" x14ac:dyDescent="0.35">
      <c r="A9">
        <v>2019</v>
      </c>
      <c r="C9" t="s">
        <v>21</v>
      </c>
    </row>
    <row r="10" spans="1:8" x14ac:dyDescent="0.35">
      <c r="A10">
        <v>2020</v>
      </c>
      <c r="C10" t="s">
        <v>22</v>
      </c>
    </row>
    <row r="11" spans="1:8" x14ac:dyDescent="0.35">
      <c r="A11">
        <v>2021</v>
      </c>
      <c r="C11" t="s">
        <v>23</v>
      </c>
    </row>
    <row r="12" spans="1:8" x14ac:dyDescent="0.35">
      <c r="A12">
        <v>2022</v>
      </c>
      <c r="C12" t="s">
        <v>24</v>
      </c>
    </row>
    <row r="13" spans="1:8" x14ac:dyDescent="0.35">
      <c r="A13">
        <v>2023</v>
      </c>
      <c r="C13" t="s">
        <v>25</v>
      </c>
    </row>
    <row r="14" spans="1:8" x14ac:dyDescent="0.35">
      <c r="A14">
        <v>2024</v>
      </c>
      <c r="C14" t="s">
        <v>26</v>
      </c>
    </row>
  </sheetData>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05DB8-37DF-45CE-A059-4C262B197019}">
  <dimension ref="A1:AC46"/>
  <sheetViews>
    <sheetView workbookViewId="0">
      <selection activeCell="A25" sqref="A25"/>
    </sheetView>
  </sheetViews>
  <sheetFormatPr defaultRowHeight="14.5" x14ac:dyDescent="0.35"/>
  <cols>
    <col min="1" max="1" width="56.26953125" bestFit="1" customWidth="1"/>
    <col min="2" max="2" width="14.6328125" bestFit="1" customWidth="1"/>
    <col min="3" max="3" width="12.1796875" bestFit="1" customWidth="1"/>
    <col min="4" max="4" width="14.6328125" bestFit="1" customWidth="1"/>
    <col min="5" max="5" width="12.1796875" bestFit="1" customWidth="1"/>
    <col min="6" max="6" width="14.6328125" bestFit="1" customWidth="1"/>
    <col min="7" max="7" width="12.1796875" bestFit="1" customWidth="1"/>
    <col min="8" max="8" width="14.6328125" bestFit="1" customWidth="1"/>
    <col min="9" max="9" width="12.1796875" bestFit="1" customWidth="1"/>
    <col min="10" max="10" width="14.6328125" bestFit="1" customWidth="1"/>
    <col min="11" max="11" width="12.1796875" bestFit="1" customWidth="1"/>
    <col min="12" max="12" width="14.6328125" bestFit="1" customWidth="1"/>
    <col min="13" max="13" width="12.1796875" bestFit="1" customWidth="1"/>
    <col min="14" max="14" width="14.6328125" bestFit="1" customWidth="1"/>
    <col min="15" max="15" width="12.1796875" bestFit="1" customWidth="1"/>
    <col min="16" max="16" width="14.6328125" bestFit="1" customWidth="1"/>
    <col min="17" max="17" width="12.1796875" bestFit="1" customWidth="1"/>
    <col min="18" max="18" width="14.6328125" bestFit="1" customWidth="1"/>
    <col min="19" max="19" width="12.1796875" bestFit="1" customWidth="1"/>
    <col min="20" max="20" width="14.6328125" bestFit="1" customWidth="1"/>
    <col min="21" max="21" width="12.1796875" bestFit="1" customWidth="1"/>
    <col min="22" max="22" width="14.6328125" bestFit="1" customWidth="1"/>
    <col min="23" max="23" width="12.1796875" bestFit="1" customWidth="1"/>
    <col min="24" max="24" width="14.6328125" bestFit="1" customWidth="1"/>
    <col min="25" max="25" width="12.1796875" bestFit="1" customWidth="1"/>
    <col min="26" max="26" width="14.6328125" bestFit="1" customWidth="1"/>
    <col min="27" max="27" width="12.1796875" bestFit="1" customWidth="1"/>
    <col min="28" max="28" width="19.1796875" bestFit="1" customWidth="1"/>
    <col min="29" max="29" width="16.7265625" bestFit="1" customWidth="1"/>
  </cols>
  <sheetData>
    <row r="1" spans="1:6" ht="23.5" x14ac:dyDescent="0.55000000000000004">
      <c r="A1" s="13" t="s">
        <v>41</v>
      </c>
    </row>
    <row r="3" spans="1:6" x14ac:dyDescent="0.35">
      <c r="A3" s="2" t="s">
        <v>27</v>
      </c>
      <c r="B3" t="s">
        <v>32</v>
      </c>
      <c r="C3" t="s">
        <v>31</v>
      </c>
      <c r="D3" t="s">
        <v>30</v>
      </c>
      <c r="E3" t="s">
        <v>42</v>
      </c>
      <c r="F3" t="s">
        <v>29</v>
      </c>
    </row>
    <row r="4" spans="1:6" x14ac:dyDescent="0.35">
      <c r="A4" s="3">
        <v>2012</v>
      </c>
      <c r="B4" s="5"/>
      <c r="C4" s="5">
        <v>0.26328571428571429</v>
      </c>
      <c r="D4" s="4">
        <v>16783.499999999993</v>
      </c>
      <c r="E4" s="4">
        <v>48835.9</v>
      </c>
      <c r="F4" s="4">
        <v>65619.399999999994</v>
      </c>
    </row>
    <row r="5" spans="1:6" x14ac:dyDescent="0.35">
      <c r="A5" s="3">
        <v>2013</v>
      </c>
      <c r="B5" s="5"/>
      <c r="C5" s="5">
        <v>0.29638095238095241</v>
      </c>
      <c r="D5" s="4">
        <v>19672.000000000007</v>
      </c>
      <c r="E5" s="4">
        <v>50615.30000000001</v>
      </c>
      <c r="F5" s="4">
        <v>70287.300000000017</v>
      </c>
    </row>
    <row r="6" spans="1:6" x14ac:dyDescent="0.35">
      <c r="A6" s="3">
        <v>2014</v>
      </c>
      <c r="B6" s="5"/>
      <c r="C6" s="5">
        <v>0.30747222222222237</v>
      </c>
      <c r="D6" s="4">
        <v>20704.69999999999</v>
      </c>
      <c r="E6" s="4">
        <v>53177.80000000001</v>
      </c>
      <c r="F6" s="4">
        <v>73882.5</v>
      </c>
    </row>
    <row r="7" spans="1:6" x14ac:dyDescent="0.35">
      <c r="A7" s="3">
        <v>2015</v>
      </c>
      <c r="B7" s="5"/>
      <c r="C7" s="5">
        <v>0.30405263157894741</v>
      </c>
      <c r="D7" s="4">
        <v>21516.800000000003</v>
      </c>
      <c r="E7" s="4">
        <v>54937.600000000006</v>
      </c>
      <c r="F7" s="4">
        <v>76454.400000000009</v>
      </c>
    </row>
    <row r="8" spans="1:6" x14ac:dyDescent="0.35">
      <c r="A8" s="3">
        <v>2016</v>
      </c>
      <c r="B8" s="5"/>
      <c r="C8" s="5">
        <v>0.3027631578947369</v>
      </c>
      <c r="D8" s="4">
        <v>22704.200000000012</v>
      </c>
      <c r="E8" s="4">
        <v>55965.099999999991</v>
      </c>
      <c r="F8" s="4">
        <v>78669.3</v>
      </c>
    </row>
    <row r="9" spans="1:6" x14ac:dyDescent="0.35">
      <c r="A9" s="3">
        <v>2017</v>
      </c>
      <c r="B9" s="5"/>
      <c r="C9" s="5">
        <v>0.30826315789473685</v>
      </c>
      <c r="D9" s="4">
        <v>23863.999999999993</v>
      </c>
      <c r="E9" s="4">
        <v>58131.000000000007</v>
      </c>
      <c r="F9" s="4">
        <v>81995</v>
      </c>
    </row>
    <row r="10" spans="1:6" x14ac:dyDescent="0.35">
      <c r="A10" s="3">
        <v>2018</v>
      </c>
      <c r="B10" s="5"/>
      <c r="C10" s="5">
        <v>0.30952380952380959</v>
      </c>
      <c r="D10" s="4">
        <v>25813.599999999962</v>
      </c>
      <c r="E10" s="4">
        <v>72008.900000000009</v>
      </c>
      <c r="F10" s="4">
        <v>97822.499999999971</v>
      </c>
    </row>
    <row r="11" spans="1:6" x14ac:dyDescent="0.35">
      <c r="A11" s="3">
        <v>2019</v>
      </c>
      <c r="B11" s="5"/>
      <c r="C11" s="5">
        <v>0.31454761904761902</v>
      </c>
      <c r="D11" s="4">
        <v>27182.800000000003</v>
      </c>
      <c r="E11" s="4">
        <v>76668.000000000015</v>
      </c>
      <c r="F11" s="4">
        <v>103850.80000000002</v>
      </c>
    </row>
    <row r="12" spans="1:6" x14ac:dyDescent="0.35">
      <c r="A12" s="3">
        <v>2020</v>
      </c>
      <c r="B12" s="5"/>
      <c r="C12" s="5">
        <v>0.30976190476190479</v>
      </c>
      <c r="D12" s="4">
        <v>27186.400000000009</v>
      </c>
      <c r="E12" s="4">
        <v>79276.499999999985</v>
      </c>
      <c r="F12" s="4">
        <v>106462.9</v>
      </c>
    </row>
    <row r="13" spans="1:6" x14ac:dyDescent="0.35">
      <c r="A13" s="3">
        <v>2021</v>
      </c>
      <c r="B13" s="5"/>
      <c r="C13" s="5">
        <v>0.30488095238095236</v>
      </c>
      <c r="D13" s="4">
        <v>30544.299999999988</v>
      </c>
      <c r="E13" s="4">
        <v>89132.800000000017</v>
      </c>
      <c r="F13" s="4">
        <v>119677.1</v>
      </c>
    </row>
    <row r="14" spans="1:6" x14ac:dyDescent="0.35">
      <c r="A14" s="3">
        <v>2022</v>
      </c>
      <c r="B14" s="5"/>
      <c r="C14" s="5">
        <v>0.27452631578947367</v>
      </c>
      <c r="D14" s="4">
        <v>33145.39999999998</v>
      </c>
      <c r="E14" s="4">
        <v>102881.00000000001</v>
      </c>
      <c r="F14" s="4">
        <v>136026.4</v>
      </c>
    </row>
    <row r="15" spans="1:6" x14ac:dyDescent="0.35">
      <c r="A15" s="3">
        <v>2023</v>
      </c>
      <c r="B15" s="5"/>
      <c r="C15" s="5">
        <v>0.26009523809523816</v>
      </c>
      <c r="D15" s="4">
        <v>34308.599999999991</v>
      </c>
      <c r="E15" s="4">
        <v>115970.09999999999</v>
      </c>
      <c r="F15" s="4">
        <v>150278.69999999998</v>
      </c>
    </row>
    <row r="16" spans="1:6" x14ac:dyDescent="0.35">
      <c r="A16" s="3">
        <v>2024</v>
      </c>
      <c r="B16" s="5"/>
      <c r="C16" s="5">
        <v>0.25209523809523809</v>
      </c>
      <c r="D16" s="4">
        <v>34629.700000000026</v>
      </c>
      <c r="E16" s="4">
        <v>125145.7</v>
      </c>
      <c r="F16" s="4">
        <v>159775.40000000002</v>
      </c>
    </row>
    <row r="17" spans="1:29" x14ac:dyDescent="0.35">
      <c r="A17" s="3" t="s">
        <v>28</v>
      </c>
      <c r="B17" s="5">
        <v>0.13761565952468105</v>
      </c>
      <c r="C17" s="5">
        <v>0.29259160305343479</v>
      </c>
      <c r="D17" s="4">
        <v>338055.9999999993</v>
      </c>
      <c r="E17" s="4">
        <v>982745.70000000042</v>
      </c>
      <c r="F17" s="4">
        <v>1320801.6999999997</v>
      </c>
    </row>
    <row r="20" spans="1:29" ht="23.5" x14ac:dyDescent="0.55000000000000004">
      <c r="A20" s="13" t="s">
        <v>43</v>
      </c>
    </row>
    <row r="21" spans="1:29" x14ac:dyDescent="0.35">
      <c r="B21" s="2" t="s">
        <v>33</v>
      </c>
    </row>
    <row r="22" spans="1:29" x14ac:dyDescent="0.35">
      <c r="B22">
        <v>2012</v>
      </c>
      <c r="D22">
        <v>2013</v>
      </c>
      <c r="F22">
        <v>2014</v>
      </c>
      <c r="H22">
        <v>2015</v>
      </c>
      <c r="J22">
        <v>2016</v>
      </c>
      <c r="L22">
        <v>2017</v>
      </c>
      <c r="N22">
        <v>2018</v>
      </c>
      <c r="P22">
        <v>2019</v>
      </c>
      <c r="R22">
        <v>2020</v>
      </c>
      <c r="T22">
        <v>2021</v>
      </c>
      <c r="V22">
        <v>2022</v>
      </c>
      <c r="X22">
        <v>2023</v>
      </c>
      <c r="Z22">
        <v>2024</v>
      </c>
      <c r="AB22" t="s">
        <v>49</v>
      </c>
      <c r="AC22" t="s">
        <v>44</v>
      </c>
    </row>
    <row r="23" spans="1:29" x14ac:dyDescent="0.35">
      <c r="A23" s="2" t="s">
        <v>45</v>
      </c>
      <c r="B23" t="s">
        <v>31</v>
      </c>
      <c r="C23" t="s">
        <v>29</v>
      </c>
      <c r="D23" t="s">
        <v>31</v>
      </c>
      <c r="E23" t="s">
        <v>29</v>
      </c>
      <c r="F23" t="s">
        <v>31</v>
      </c>
      <c r="G23" t="s">
        <v>29</v>
      </c>
      <c r="H23" t="s">
        <v>31</v>
      </c>
      <c r="I23" t="s">
        <v>29</v>
      </c>
      <c r="J23" t="s">
        <v>31</v>
      </c>
      <c r="K23" t="s">
        <v>29</v>
      </c>
      <c r="L23" t="s">
        <v>31</v>
      </c>
      <c r="M23" t="s">
        <v>29</v>
      </c>
      <c r="N23" t="s">
        <v>31</v>
      </c>
      <c r="O23" t="s">
        <v>29</v>
      </c>
      <c r="P23" t="s">
        <v>31</v>
      </c>
      <c r="Q23" t="s">
        <v>29</v>
      </c>
      <c r="R23" t="s">
        <v>31</v>
      </c>
      <c r="S23" t="s">
        <v>29</v>
      </c>
      <c r="T23" t="s">
        <v>31</v>
      </c>
      <c r="U23" t="s">
        <v>29</v>
      </c>
      <c r="V23" t="s">
        <v>31</v>
      </c>
      <c r="W23" t="s">
        <v>29</v>
      </c>
      <c r="X23" t="s">
        <v>31</v>
      </c>
      <c r="Y23" t="s">
        <v>29</v>
      </c>
      <c r="Z23" t="s">
        <v>31</v>
      </c>
      <c r="AA23" t="s">
        <v>29</v>
      </c>
    </row>
    <row r="24" spans="1:29" x14ac:dyDescent="0.35">
      <c r="A24" s="3" t="s">
        <v>13</v>
      </c>
      <c r="B24" s="5">
        <v>0.23100000000000001</v>
      </c>
      <c r="C24" s="4">
        <v>10969.200000000004</v>
      </c>
      <c r="D24" s="5">
        <v>0.26442857142857146</v>
      </c>
      <c r="E24" s="4">
        <v>11567.999999999998</v>
      </c>
      <c r="F24" s="5">
        <v>0.26354545454545453</v>
      </c>
      <c r="G24" s="4">
        <v>12696.400000000001</v>
      </c>
      <c r="H24" s="5">
        <v>0.22283333333333333</v>
      </c>
      <c r="I24" s="4">
        <v>11950.099999999999</v>
      </c>
      <c r="J24" s="5">
        <v>0.22133333333333338</v>
      </c>
      <c r="K24" s="4">
        <v>11018.500000000002</v>
      </c>
      <c r="L24" s="5">
        <v>0.22233333333333338</v>
      </c>
      <c r="M24" s="4">
        <v>11210.200000000003</v>
      </c>
      <c r="N24" s="5">
        <v>0.23335714285714287</v>
      </c>
      <c r="O24" s="4">
        <v>13428.8</v>
      </c>
      <c r="P24" s="5">
        <v>0.23771428571428574</v>
      </c>
      <c r="Q24" s="4">
        <v>14888.499999999996</v>
      </c>
      <c r="R24" s="5">
        <v>0.24657142857142864</v>
      </c>
      <c r="S24" s="4">
        <v>15559.4</v>
      </c>
      <c r="T24" s="5">
        <v>0.25621428571428573</v>
      </c>
      <c r="U24" s="4">
        <v>18985.2</v>
      </c>
      <c r="V24" s="5">
        <v>0.21291666666666664</v>
      </c>
      <c r="W24" s="4">
        <v>23006.400000000001</v>
      </c>
      <c r="X24" s="5">
        <v>0.1852857142857143</v>
      </c>
      <c r="Y24" s="4">
        <v>26327.700000000004</v>
      </c>
      <c r="Z24" s="5">
        <v>0.17278571428571432</v>
      </c>
      <c r="AA24" s="4">
        <v>28079.7</v>
      </c>
      <c r="AB24" s="5">
        <v>0.2282748538011696</v>
      </c>
      <c r="AC24" s="4">
        <v>209688.1</v>
      </c>
    </row>
    <row r="25" spans="1:29" x14ac:dyDescent="0.35">
      <c r="A25" s="3" t="s">
        <v>10</v>
      </c>
      <c r="B25" s="5">
        <v>0.29314285714285715</v>
      </c>
      <c r="C25" s="4">
        <v>21840.500000000004</v>
      </c>
      <c r="D25" s="5">
        <v>0.32521428571428562</v>
      </c>
      <c r="E25" s="4">
        <v>23575.599999999999</v>
      </c>
      <c r="F25" s="5">
        <v>0.34709090909090906</v>
      </c>
      <c r="G25" s="4">
        <v>24217.5</v>
      </c>
      <c r="H25" s="5">
        <v>0.37191666666666662</v>
      </c>
      <c r="I25" s="4">
        <v>26277.1</v>
      </c>
      <c r="J25" s="5">
        <v>0.36983333333333329</v>
      </c>
      <c r="K25" s="4">
        <v>28305.1</v>
      </c>
      <c r="L25" s="5">
        <v>0.37891666666666662</v>
      </c>
      <c r="M25" s="4">
        <v>29787.399999999998</v>
      </c>
      <c r="N25" s="5">
        <v>0.38328571428571434</v>
      </c>
      <c r="O25" s="4">
        <v>35482.500000000007</v>
      </c>
      <c r="P25" s="5">
        <v>0.39207142857142857</v>
      </c>
      <c r="Q25" s="4">
        <v>37037.000000000007</v>
      </c>
      <c r="R25" s="5">
        <v>0.37557142857142856</v>
      </c>
      <c r="S25" s="4">
        <v>37672.100000000006</v>
      </c>
      <c r="T25" s="5">
        <v>0.36014285714285715</v>
      </c>
      <c r="U25" s="4">
        <v>40853.30000000001</v>
      </c>
      <c r="V25" s="5">
        <v>0.33949999999999997</v>
      </c>
      <c r="W25" s="4">
        <v>44983.700000000004</v>
      </c>
      <c r="X25" s="5">
        <v>0.34007142857142858</v>
      </c>
      <c r="Y25" s="4">
        <v>48811.499999999993</v>
      </c>
      <c r="Z25" s="5">
        <v>0.33614285714285713</v>
      </c>
      <c r="AA25" s="4">
        <v>51807.9</v>
      </c>
      <c r="AB25" s="5">
        <v>0.35449707602339203</v>
      </c>
      <c r="AC25" s="4">
        <v>450651.2</v>
      </c>
    </row>
    <row r="26" spans="1:29" x14ac:dyDescent="0.35">
      <c r="A26" s="3" t="s">
        <v>6</v>
      </c>
      <c r="B26" s="5">
        <v>0.26571428571428568</v>
      </c>
      <c r="C26" s="4">
        <v>32809.699999999997</v>
      </c>
      <c r="D26" s="5">
        <v>0.29949999999999999</v>
      </c>
      <c r="E26" s="4">
        <v>35143.699999999997</v>
      </c>
      <c r="F26" s="5">
        <v>0.31085714285714289</v>
      </c>
      <c r="G26" s="4">
        <v>36968.600000000006</v>
      </c>
      <c r="H26" s="5">
        <v>0.31550000000000006</v>
      </c>
      <c r="I26" s="4">
        <v>38227.200000000004</v>
      </c>
      <c r="J26" s="5">
        <v>0.31507142857142861</v>
      </c>
      <c r="K26" s="4">
        <v>39345.700000000004</v>
      </c>
      <c r="L26" s="5">
        <v>0.32135714285714284</v>
      </c>
      <c r="M26" s="4">
        <v>40997.4</v>
      </c>
      <c r="N26" s="5">
        <v>0.31192857142857144</v>
      </c>
      <c r="O26" s="4">
        <v>48911.200000000004</v>
      </c>
      <c r="P26" s="5">
        <v>0.31385714285714289</v>
      </c>
      <c r="Q26" s="4">
        <v>51925.299999999996</v>
      </c>
      <c r="R26" s="5">
        <v>0.30714285714285711</v>
      </c>
      <c r="S26" s="4">
        <v>53231.4</v>
      </c>
      <c r="T26" s="5">
        <v>0.29828571428571432</v>
      </c>
      <c r="U26" s="4">
        <v>59838.6</v>
      </c>
      <c r="V26" s="5">
        <v>0.27164285714285713</v>
      </c>
      <c r="W26" s="4">
        <v>68036.3</v>
      </c>
      <c r="X26" s="5">
        <v>0.25492857142857145</v>
      </c>
      <c r="Y26" s="4">
        <v>75139.500000000015</v>
      </c>
      <c r="Z26" s="5">
        <v>0.24735714285714286</v>
      </c>
      <c r="AA26" s="4">
        <v>79887.8</v>
      </c>
      <c r="AB26" s="5">
        <v>0.29485714285714298</v>
      </c>
      <c r="AC26" s="4">
        <v>660462.4</v>
      </c>
    </row>
    <row r="27" spans="1:29" x14ac:dyDescent="0.35">
      <c r="A27" s="3" t="s">
        <v>28</v>
      </c>
      <c r="B27" s="5">
        <v>0.26328571428571429</v>
      </c>
      <c r="C27" s="4">
        <v>65619.399999999994</v>
      </c>
      <c r="D27" s="5">
        <v>0.29638095238095241</v>
      </c>
      <c r="E27" s="4">
        <v>70287.300000000017</v>
      </c>
      <c r="F27" s="5">
        <v>0.30747222222222237</v>
      </c>
      <c r="G27" s="4">
        <v>73882.5</v>
      </c>
      <c r="H27" s="5">
        <v>0.30405263157894741</v>
      </c>
      <c r="I27" s="4">
        <v>76454.400000000009</v>
      </c>
      <c r="J27" s="5">
        <v>0.3027631578947369</v>
      </c>
      <c r="K27" s="4">
        <v>78669.3</v>
      </c>
      <c r="L27" s="5">
        <v>0.30826315789473685</v>
      </c>
      <c r="M27" s="4">
        <v>81995</v>
      </c>
      <c r="N27" s="5">
        <v>0.30952380952380959</v>
      </c>
      <c r="O27" s="4">
        <v>97822.499999999971</v>
      </c>
      <c r="P27" s="5">
        <v>0.31454761904761902</v>
      </c>
      <c r="Q27" s="4">
        <v>103850.80000000002</v>
      </c>
      <c r="R27" s="5">
        <v>0.30976190476190479</v>
      </c>
      <c r="S27" s="4">
        <v>106462.9</v>
      </c>
      <c r="T27" s="5">
        <v>0.30488095238095236</v>
      </c>
      <c r="U27" s="4">
        <v>119677.1</v>
      </c>
      <c r="V27" s="5">
        <v>0.27452631578947367</v>
      </c>
      <c r="W27" s="4">
        <v>136026.4</v>
      </c>
      <c r="X27" s="5">
        <v>0.26009523809523816</v>
      </c>
      <c r="Y27" s="4">
        <v>150278.69999999998</v>
      </c>
      <c r="Z27" s="5">
        <v>0.25209523809523809</v>
      </c>
      <c r="AA27" s="4">
        <v>159775.40000000002</v>
      </c>
      <c r="AB27" s="5">
        <v>0.29259160305343479</v>
      </c>
      <c r="AC27" s="4">
        <v>1320801.6999999997</v>
      </c>
    </row>
    <row r="30" spans="1:29" ht="23.5" x14ac:dyDescent="0.55000000000000004">
      <c r="A30" s="14" t="s">
        <v>46</v>
      </c>
    </row>
    <row r="31" spans="1:29" x14ac:dyDescent="0.35">
      <c r="A31" s="2" t="s">
        <v>48</v>
      </c>
      <c r="B31" t="s">
        <v>31</v>
      </c>
      <c r="C31" t="s">
        <v>29</v>
      </c>
    </row>
    <row r="32" spans="1:29" x14ac:dyDescent="0.35">
      <c r="A32" s="3" t="s">
        <v>23</v>
      </c>
      <c r="B32" s="5">
        <v>0.2595128205128206</v>
      </c>
      <c r="C32" s="4">
        <v>115947.6</v>
      </c>
    </row>
    <row r="33" spans="1:3" x14ac:dyDescent="0.35">
      <c r="A33" s="3" t="s">
        <v>24</v>
      </c>
      <c r="B33" s="5">
        <v>0.27171794871794874</v>
      </c>
      <c r="C33" s="4">
        <v>103543.80000000003</v>
      </c>
    </row>
    <row r="34" spans="1:3" x14ac:dyDescent="0.35">
      <c r="A34" s="3" t="s">
        <v>5</v>
      </c>
      <c r="B34" s="5">
        <v>0.25023076923076926</v>
      </c>
      <c r="C34" s="4">
        <v>660462.20000000007</v>
      </c>
    </row>
    <row r="35" spans="1:3" x14ac:dyDescent="0.35">
      <c r="A35" s="3" t="s">
        <v>21</v>
      </c>
      <c r="B35" s="5">
        <v>0.33723076923076922</v>
      </c>
      <c r="C35" s="4">
        <v>9553</v>
      </c>
    </row>
    <row r="36" spans="1:3" x14ac:dyDescent="0.35">
      <c r="A36" s="3" t="s">
        <v>18</v>
      </c>
      <c r="B36" s="5">
        <v>0.36107692307692296</v>
      </c>
      <c r="C36" s="4">
        <v>3214.3</v>
      </c>
    </row>
    <row r="37" spans="1:3" x14ac:dyDescent="0.35">
      <c r="A37" s="3" t="s">
        <v>9</v>
      </c>
      <c r="B37" s="5">
        <v>0.24256410256410257</v>
      </c>
      <c r="C37" s="4">
        <v>3004.7999999999997</v>
      </c>
    </row>
    <row r="38" spans="1:3" x14ac:dyDescent="0.35">
      <c r="A38" s="3" t="s">
        <v>26</v>
      </c>
      <c r="B38" s="5">
        <v>0.23710256410256411</v>
      </c>
      <c r="C38" s="4">
        <v>813.80000000000007</v>
      </c>
    </row>
    <row r="39" spans="1:3" x14ac:dyDescent="0.35">
      <c r="A39" s="3" t="s">
        <v>15</v>
      </c>
      <c r="B39" s="5">
        <v>0.31307692307692303</v>
      </c>
      <c r="C39" s="4">
        <v>7997.5</v>
      </c>
    </row>
    <row r="40" spans="1:3" x14ac:dyDescent="0.35">
      <c r="A40" s="3" t="s">
        <v>20</v>
      </c>
      <c r="B40" s="5">
        <v>0.23815384615384616</v>
      </c>
      <c r="C40" s="4">
        <v>309108.00000000006</v>
      </c>
    </row>
    <row r="41" spans="1:3" x14ac:dyDescent="0.35">
      <c r="A41" s="3" t="s">
        <v>12</v>
      </c>
      <c r="B41" s="5">
        <v>0.34465517241379307</v>
      </c>
      <c r="C41" s="4">
        <v>668.19999999999993</v>
      </c>
    </row>
    <row r="42" spans="1:3" x14ac:dyDescent="0.35">
      <c r="A42" s="3" t="s">
        <v>19</v>
      </c>
      <c r="B42" s="5">
        <v>0.22620512820512823</v>
      </c>
      <c r="C42" s="4">
        <v>94407.4</v>
      </c>
    </row>
    <row r="43" spans="1:3" x14ac:dyDescent="0.35">
      <c r="A43" s="3" t="s">
        <v>22</v>
      </c>
      <c r="B43" s="5">
        <v>0.34833333333333333</v>
      </c>
      <c r="C43" s="4">
        <v>11095.1</v>
      </c>
    </row>
    <row r="44" spans="1:3" x14ac:dyDescent="0.35">
      <c r="A44" s="3" t="s">
        <v>25</v>
      </c>
      <c r="B44" s="5">
        <v>0.29678378378378389</v>
      </c>
      <c r="C44" s="4">
        <v>876.50000000000011</v>
      </c>
    </row>
    <row r="45" spans="1:3" x14ac:dyDescent="0.35">
      <c r="A45" s="3" t="s">
        <v>47</v>
      </c>
      <c r="B45" s="5">
        <v>0.414448275862069</v>
      </c>
      <c r="C45" s="4">
        <v>109.5</v>
      </c>
    </row>
    <row r="46" spans="1:3" x14ac:dyDescent="0.35">
      <c r="A46" s="3" t="s">
        <v>28</v>
      </c>
      <c r="B46" s="5">
        <v>0.29259160305343479</v>
      </c>
      <c r="C46" s="4">
        <v>1320801.6999999997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D25CD-4B2F-45DE-B359-74FBF5D68C18}">
  <dimension ref="A1:K87"/>
  <sheetViews>
    <sheetView workbookViewId="0"/>
  </sheetViews>
  <sheetFormatPr defaultRowHeight="14.5" x14ac:dyDescent="0.35"/>
  <cols>
    <col min="1" max="1" width="23.54296875" bestFit="1" customWidth="1"/>
    <col min="2" max="2" width="29.90625" bestFit="1" customWidth="1"/>
    <col min="3" max="3" width="13.6328125" bestFit="1" customWidth="1"/>
    <col min="4" max="4" width="56.26953125" bestFit="1" customWidth="1"/>
    <col min="5" max="5" width="26.453125" bestFit="1" customWidth="1"/>
    <col min="8" max="8" width="17.1796875" bestFit="1" customWidth="1"/>
    <col min="11" max="11" width="14.6328125" bestFit="1" customWidth="1"/>
  </cols>
  <sheetData>
    <row r="1" spans="2:11" ht="26" x14ac:dyDescent="0.6">
      <c r="B1" s="10" t="s">
        <v>34</v>
      </c>
      <c r="C1" s="10"/>
      <c r="D1" s="10"/>
      <c r="E1" s="10"/>
      <c r="F1" s="10"/>
      <c r="G1" s="10"/>
      <c r="H1" s="10"/>
      <c r="I1" s="10"/>
      <c r="J1" s="10"/>
      <c r="K1" s="10"/>
    </row>
    <row r="3" spans="2:11" ht="23.5" x14ac:dyDescent="0.55000000000000004">
      <c r="B3" s="12" t="s">
        <v>35</v>
      </c>
      <c r="E3" s="12" t="s">
        <v>36</v>
      </c>
      <c r="H3" s="12" t="s">
        <v>37</v>
      </c>
      <c r="K3" s="11" t="s">
        <v>38</v>
      </c>
    </row>
    <row r="4" spans="2:11" ht="31" x14ac:dyDescent="0.7">
      <c r="B4" s="6">
        <f>GETPIVOTDATA("[Measures].[Revenue ($M)]",$A$55)</f>
        <v>1320801.6999999997</v>
      </c>
      <c r="E4" s="7">
        <f>GETPIVOTDATA("[Measures].[Profit ($M)]",$A$55)</f>
        <v>338055.9999999993</v>
      </c>
      <c r="H4" s="8">
        <f>GETPIVOTDATA("[Measures].[Profit Margin (%)]",$A$55)</f>
        <v>0.29259160305343479</v>
      </c>
      <c r="K4" s="9">
        <f>GETPIVOTDATA("[Measures].[Revenue YoY %]",$A$55)</f>
        <v>0.13761565952468105</v>
      </c>
    </row>
    <row r="53" spans="1:5" x14ac:dyDescent="0.35">
      <c r="A53" s="2" t="s">
        <v>33</v>
      </c>
      <c r="B53" t="s" vm="1">
        <v>39</v>
      </c>
    </row>
    <row r="55" spans="1:5" x14ac:dyDescent="0.35">
      <c r="A55" s="2" t="s">
        <v>33</v>
      </c>
      <c r="B55" t="s">
        <v>31</v>
      </c>
      <c r="C55" t="s">
        <v>32</v>
      </c>
      <c r="D55" t="s">
        <v>29</v>
      </c>
      <c r="E55" t="s">
        <v>30</v>
      </c>
    </row>
    <row r="56" spans="1:5" x14ac:dyDescent="0.35">
      <c r="A56" s="3" t="s">
        <v>23</v>
      </c>
      <c r="B56" s="5">
        <v>0.2595128205128206</v>
      </c>
      <c r="C56" s="5">
        <v>0.10956021462467948</v>
      </c>
      <c r="D56" s="4">
        <v>115947.6</v>
      </c>
      <c r="E56" s="4">
        <v>30094.400000000009</v>
      </c>
    </row>
    <row r="57" spans="1:5" x14ac:dyDescent="0.35">
      <c r="A57" s="3" t="s">
        <v>24</v>
      </c>
      <c r="B57" s="5">
        <v>0.27171794871794874</v>
      </c>
      <c r="C57" s="5">
        <v>0.13908693772435199</v>
      </c>
      <c r="D57" s="4">
        <v>103543.80000000003</v>
      </c>
      <c r="E57" s="4">
        <v>29073.000000000044</v>
      </c>
    </row>
    <row r="58" spans="1:5" x14ac:dyDescent="0.35">
      <c r="A58" s="3" t="s">
        <v>5</v>
      </c>
      <c r="B58" s="5">
        <v>0.25023076923076926</v>
      </c>
      <c r="C58" s="5">
        <v>0.13760131345784435</v>
      </c>
      <c r="D58" s="4">
        <v>660462.20000000007</v>
      </c>
      <c r="E58" s="4">
        <v>169045.30000000005</v>
      </c>
    </row>
    <row r="59" spans="1:5" x14ac:dyDescent="0.35">
      <c r="A59" s="3" t="s">
        <v>21</v>
      </c>
      <c r="B59" s="5">
        <v>0.33723076923076922</v>
      </c>
      <c r="C59" s="5">
        <v>0.12100729892745674</v>
      </c>
      <c r="D59" s="4">
        <v>9553</v>
      </c>
      <c r="E59" s="4">
        <v>3349.4999999999991</v>
      </c>
    </row>
    <row r="60" spans="1:5" x14ac:dyDescent="0.35">
      <c r="A60" s="3" t="s">
        <v>18</v>
      </c>
      <c r="B60" s="5">
        <v>0.36107692307692296</v>
      </c>
      <c r="C60" s="5">
        <v>0.11534057392692307</v>
      </c>
      <c r="D60" s="4">
        <v>3214.3</v>
      </c>
      <c r="E60" s="4">
        <v>1197.9000000000003</v>
      </c>
    </row>
    <row r="61" spans="1:5" x14ac:dyDescent="0.35">
      <c r="A61" s="3" t="s">
        <v>9</v>
      </c>
      <c r="B61" s="5">
        <v>0.24256410256410257</v>
      </c>
      <c r="C61" s="5">
        <v>0.10976510562860091</v>
      </c>
      <c r="D61" s="4">
        <v>3004.7999999999997</v>
      </c>
      <c r="E61" s="4">
        <v>718.49999999999909</v>
      </c>
    </row>
    <row r="62" spans="1:5" x14ac:dyDescent="0.35">
      <c r="A62" s="3" t="s">
        <v>26</v>
      </c>
      <c r="B62" s="5">
        <v>0.23710256410256411</v>
      </c>
      <c r="C62" s="5">
        <v>8.333333333333319E-2</v>
      </c>
      <c r="D62" s="4">
        <v>813.80000000000007</v>
      </c>
      <c r="E62" s="4">
        <v>148.8000000000003</v>
      </c>
    </row>
    <row r="63" spans="1:5" x14ac:dyDescent="0.35">
      <c r="A63" s="3" t="s">
        <v>15</v>
      </c>
      <c r="B63" s="5">
        <v>0.31307692307692303</v>
      </c>
      <c r="C63" s="5">
        <v>0.13969959528016862</v>
      </c>
      <c r="D63" s="4">
        <v>7997.5</v>
      </c>
      <c r="E63" s="4">
        <v>2491.5999999999995</v>
      </c>
    </row>
    <row r="64" spans="1:5" x14ac:dyDescent="0.35">
      <c r="A64" s="3" t="s">
        <v>40</v>
      </c>
      <c r="B64" s="5">
        <v>0.414448275862069</v>
      </c>
      <c r="C64" s="5">
        <v>0.3337393422655297</v>
      </c>
      <c r="D64" s="4">
        <v>109.5</v>
      </c>
      <c r="E64" s="4">
        <v>31.900000000000006</v>
      </c>
    </row>
    <row r="65" spans="1:5" x14ac:dyDescent="0.35">
      <c r="A65" s="3" t="s">
        <v>20</v>
      </c>
      <c r="B65" s="5">
        <v>0.23815384615384616</v>
      </c>
      <c r="C65" s="5">
        <v>0.14938152157665349</v>
      </c>
      <c r="D65" s="4">
        <v>309108.00000000006</v>
      </c>
      <c r="E65" s="4">
        <v>76741.400000000052</v>
      </c>
    </row>
    <row r="66" spans="1:5" x14ac:dyDescent="0.35">
      <c r="A66" s="3" t="s">
        <v>12</v>
      </c>
      <c r="B66" s="5">
        <v>0.34465517241379307</v>
      </c>
      <c r="C66" s="5">
        <v>0.16818181818181829</v>
      </c>
      <c r="D66" s="4">
        <v>668.19999999999993</v>
      </c>
      <c r="E66" s="4">
        <v>268.3</v>
      </c>
    </row>
    <row r="67" spans="1:5" x14ac:dyDescent="0.35">
      <c r="A67" s="3" t="s">
        <v>19</v>
      </c>
      <c r="B67" s="5">
        <v>0.22620512820512823</v>
      </c>
      <c r="C67" s="5">
        <v>0.13811456684512624</v>
      </c>
      <c r="D67" s="4">
        <v>94407.4</v>
      </c>
      <c r="E67" s="4">
        <v>20907.699999999997</v>
      </c>
    </row>
    <row r="68" spans="1:5" x14ac:dyDescent="0.35">
      <c r="A68" s="3" t="s">
        <v>22</v>
      </c>
      <c r="B68" s="5">
        <v>0.34833333333333333</v>
      </c>
      <c r="C68" s="5">
        <v>0.1236340803905086</v>
      </c>
      <c r="D68" s="4">
        <v>11095.1</v>
      </c>
      <c r="E68" s="4">
        <v>3789.7999999999993</v>
      </c>
    </row>
    <row r="69" spans="1:5" x14ac:dyDescent="0.35">
      <c r="A69" s="3" t="s">
        <v>25</v>
      </c>
      <c r="B69" s="5">
        <v>0.29678378378378389</v>
      </c>
      <c r="C69" s="5">
        <v>0.1540487162606978</v>
      </c>
      <c r="D69" s="4">
        <v>876.50000000000011</v>
      </c>
      <c r="E69" s="4">
        <v>197.89999999999998</v>
      </c>
    </row>
    <row r="70" spans="1:5" x14ac:dyDescent="0.35">
      <c r="A70" s="3" t="s">
        <v>28</v>
      </c>
      <c r="B70" s="5">
        <v>0.29259160305343479</v>
      </c>
      <c r="C70" s="5">
        <v>0.13761565952468105</v>
      </c>
      <c r="D70" s="4">
        <v>1320801.6999999997</v>
      </c>
      <c r="E70" s="4">
        <v>338055.9999999993</v>
      </c>
    </row>
    <row r="73" spans="1:5" x14ac:dyDescent="0.35">
      <c r="A73" s="2" t="s">
        <v>33</v>
      </c>
      <c r="B73" t="s">
        <v>29</v>
      </c>
      <c r="D73" s="2" t="s">
        <v>27</v>
      </c>
      <c r="E73" t="s">
        <v>31</v>
      </c>
    </row>
    <row r="74" spans="1:5" x14ac:dyDescent="0.35">
      <c r="A74" s="3">
        <v>2012</v>
      </c>
      <c r="B74" s="4">
        <v>65619.399999999994</v>
      </c>
      <c r="D74" s="3" t="s">
        <v>13</v>
      </c>
      <c r="E74" s="5">
        <v>0.2282748538011696</v>
      </c>
    </row>
    <row r="75" spans="1:5" x14ac:dyDescent="0.35">
      <c r="A75" s="3">
        <v>2013</v>
      </c>
      <c r="B75" s="4">
        <v>70287.300000000017</v>
      </c>
      <c r="D75" s="3" t="s">
        <v>10</v>
      </c>
      <c r="E75" s="5">
        <v>0.35449707602339203</v>
      </c>
    </row>
    <row r="76" spans="1:5" x14ac:dyDescent="0.35">
      <c r="A76" s="3">
        <v>2014</v>
      </c>
      <c r="B76" s="4">
        <v>73882.5</v>
      </c>
      <c r="D76" s="3" t="s">
        <v>6</v>
      </c>
      <c r="E76" s="5">
        <v>0.29485714285714298</v>
      </c>
    </row>
    <row r="77" spans="1:5" x14ac:dyDescent="0.35">
      <c r="A77" s="3">
        <v>2015</v>
      </c>
      <c r="B77" s="4">
        <v>76454.400000000009</v>
      </c>
      <c r="D77" s="3" t="s">
        <v>28</v>
      </c>
      <c r="E77" s="5">
        <v>0.29259160305343479</v>
      </c>
    </row>
    <row r="78" spans="1:5" x14ac:dyDescent="0.35">
      <c r="A78" s="3">
        <v>2016</v>
      </c>
      <c r="B78" s="4">
        <v>78669.3</v>
      </c>
    </row>
    <row r="79" spans="1:5" x14ac:dyDescent="0.35">
      <c r="A79" s="3">
        <v>2017</v>
      </c>
      <c r="B79" s="4">
        <v>81995</v>
      </c>
    </row>
    <row r="80" spans="1:5" x14ac:dyDescent="0.35">
      <c r="A80" s="3">
        <v>2018</v>
      </c>
      <c r="B80" s="4">
        <v>97822.499999999971</v>
      </c>
    </row>
    <row r="81" spans="1:2" x14ac:dyDescent="0.35">
      <c r="A81" s="3">
        <v>2019</v>
      </c>
      <c r="B81" s="4">
        <v>103850.80000000002</v>
      </c>
    </row>
    <row r="82" spans="1:2" x14ac:dyDescent="0.35">
      <c r="A82" s="3">
        <v>2020</v>
      </c>
      <c r="B82" s="4">
        <v>106462.9</v>
      </c>
    </row>
    <row r="83" spans="1:2" x14ac:dyDescent="0.35">
      <c r="A83" s="3">
        <v>2021</v>
      </c>
      <c r="B83" s="4">
        <v>119677.1</v>
      </c>
    </row>
    <row r="84" spans="1:2" x14ac:dyDescent="0.35">
      <c r="A84" s="3">
        <v>2022</v>
      </c>
      <c r="B84" s="4">
        <v>136026.4</v>
      </c>
    </row>
    <row r="85" spans="1:2" x14ac:dyDescent="0.35">
      <c r="A85" s="3">
        <v>2023</v>
      </c>
      <c r="B85" s="4">
        <v>150278.69999999998</v>
      </c>
    </row>
    <row r="86" spans="1:2" x14ac:dyDescent="0.35">
      <c r="A86" s="3">
        <v>2024</v>
      </c>
      <c r="B86" s="4">
        <v>159775.40000000002</v>
      </c>
    </row>
    <row r="87" spans="1:2" x14ac:dyDescent="0.35">
      <c r="A87" s="3" t="s">
        <v>28</v>
      </c>
      <c r="B87" s="4">
        <v>1320801.6999999997</v>
      </c>
    </row>
  </sheetData>
  <mergeCells count="1">
    <mergeCell ref="B1:K1"/>
  </mergeCells>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3441E580-6FBE-4FDC-A2F8-5FE8EBE6A935}">
  <ds:schemaRefs/>
</ds:datastoreItem>
</file>

<file path=customXml/itemProps2.xml><?xml version="1.0" encoding="utf-8"?>
<ds:datastoreItem xmlns:ds="http://schemas.openxmlformats.org/officeDocument/2006/customXml" ds:itemID="{2EC01A5E-C03B-4D53-B400-41A273C42548}">
  <ds:schemaRefs/>
</ds:datastoreItem>
</file>

<file path=customXml/itemProps3.xml><?xml version="1.0" encoding="utf-8"?>
<ds:datastoreItem xmlns:ds="http://schemas.openxmlformats.org/officeDocument/2006/customXml" ds:itemID="{4D2A49F9-537B-497E-A0FC-12E2DB3539DE}">
  <ds:schemaRefs/>
</ds:datastoreItem>
</file>

<file path=customXml/itemProps4.xml><?xml version="1.0" encoding="utf-8"?>
<ds:datastoreItem xmlns:ds="http://schemas.openxmlformats.org/officeDocument/2006/customXml" ds:itemID="{E7DCB451-4B26-49FA-A5C4-32A70BC3A56B}">
  <ds:schemaRefs/>
</ds:datastoreItem>
</file>

<file path=customXml/itemProps5.xml><?xml version="1.0" encoding="utf-8"?>
<ds:datastoreItem xmlns:ds="http://schemas.openxmlformats.org/officeDocument/2006/customXml" ds:itemID="{0FF26007-7AFC-4406-9158-79EE38D999E7}">
  <ds:schemaRefs/>
</ds:datastoreItem>
</file>

<file path=customXml/itemProps6.xml><?xml version="1.0" encoding="utf-8"?>
<ds:datastoreItem xmlns:ds="http://schemas.openxmlformats.org/officeDocument/2006/customXml" ds:itemID="{343CDF7F-2665-4D72-8A98-FE7E76F15367}">
  <ds:schemaRefs/>
</ds:datastoreItem>
</file>

<file path=customXml/itemProps7.xml><?xml version="1.0" encoding="utf-8"?>
<ds:datastoreItem xmlns:ds="http://schemas.openxmlformats.org/officeDocument/2006/customXml" ds:itemID="{0B5030CC-D722-4F98-A96B-77E573F6DFF2}">
  <ds:schemaRefs/>
</ds:datastoreItem>
</file>

<file path=customXml/itemProps8.xml><?xml version="1.0" encoding="utf-8"?>
<ds:datastoreItem xmlns:ds="http://schemas.openxmlformats.org/officeDocument/2006/customXml" ds:itemID="{B4BC612B-0E3A-4352-8E17-E10F56F8B994}">
  <ds:schemaRefs/>
</ds:datastoreItem>
</file>

<file path=customXml/itemProps9.xml><?xml version="1.0" encoding="utf-8"?>
<ds:datastoreItem xmlns:ds="http://schemas.openxmlformats.org/officeDocument/2006/customXml" ds:itemID="{E564BD62-4D6D-4633-ADCD-0FF370A568CE}">
  <ds:schemaRefs/>
</ds:datastoreItem>
</file>

<file path=customXml/itemProps10.xml><?xml version="1.0" encoding="utf-8"?>
<ds:datastoreItem xmlns:ds="http://schemas.openxmlformats.org/officeDocument/2006/customXml" ds:itemID="{B8A7F18C-ED2F-4E85-8028-C46CB366550A}">
  <ds:schemaRefs/>
</ds:datastoreItem>
</file>

<file path=customXml/itemProps11.xml><?xml version="1.0" encoding="utf-8"?>
<ds:datastoreItem xmlns:ds="http://schemas.openxmlformats.org/officeDocument/2006/customXml" ds:itemID="{BC8DD6C2-1472-4B89-AFE6-AB94369DCF47}">
  <ds:schemaRefs/>
</ds:datastoreItem>
</file>

<file path=customXml/itemProps12.xml><?xml version="1.0" encoding="utf-8"?>
<ds:datastoreItem xmlns:ds="http://schemas.openxmlformats.org/officeDocument/2006/customXml" ds:itemID="{EB2DC49E-A3AB-452C-B787-AE7E7E800BF7}">
  <ds:schemaRefs/>
</ds:datastoreItem>
</file>

<file path=customXml/itemProps13.xml><?xml version="1.0" encoding="utf-8"?>
<ds:datastoreItem xmlns:ds="http://schemas.openxmlformats.org/officeDocument/2006/customXml" ds:itemID="{F0AAD2B8-399B-4573-911A-C69AA0B9F0EA}">
  <ds:schemaRefs/>
</ds:datastoreItem>
</file>

<file path=customXml/itemProps14.xml><?xml version="1.0" encoding="utf-8"?>
<ds:datastoreItem xmlns:ds="http://schemas.openxmlformats.org/officeDocument/2006/customXml" ds:itemID="{58BBD4F0-FCDC-4475-8F46-E814177087F7}">
  <ds:schemaRefs>
    <ds:schemaRef ds:uri="http://schemas.microsoft.com/DataMashup"/>
  </ds:schemaRefs>
</ds:datastoreItem>
</file>

<file path=customXml/itemProps15.xml><?xml version="1.0" encoding="utf-8"?>
<ds:datastoreItem xmlns:ds="http://schemas.openxmlformats.org/officeDocument/2006/customXml" ds:itemID="{CC796AA1-DBA5-4548-A073-7BB467448382}">
  <ds:schemaRefs/>
</ds:datastoreItem>
</file>

<file path=customXml/itemProps16.xml><?xml version="1.0" encoding="utf-8"?>
<ds:datastoreItem xmlns:ds="http://schemas.openxmlformats.org/officeDocument/2006/customXml" ds:itemID="{59615A4D-7C0E-4889-852A-6BEEDEDC94CB}">
  <ds:schemaRefs/>
</ds:datastoreItem>
</file>

<file path=customXml/itemProps17.xml><?xml version="1.0" encoding="utf-8"?>
<ds:datastoreItem xmlns:ds="http://schemas.openxmlformats.org/officeDocument/2006/customXml" ds:itemID="{F0599995-68D9-4935-B878-E02406FFA742}">
  <ds:schemaRefs/>
</ds:datastoreItem>
</file>

<file path=customXml/itemProps18.xml><?xml version="1.0" encoding="utf-8"?>
<ds:datastoreItem xmlns:ds="http://schemas.openxmlformats.org/officeDocument/2006/customXml" ds:itemID="{30317888-5FAD-47B9-8BCE-5CC5932B2A2E}">
  <ds:schemaRefs/>
</ds:datastoreItem>
</file>

<file path=customXml/itemProps19.xml><?xml version="1.0" encoding="utf-8"?>
<ds:datastoreItem xmlns:ds="http://schemas.openxmlformats.org/officeDocument/2006/customXml" ds:itemID="{EF407FCC-D2BC-487A-90F1-AA6FBFFD70B2}">
  <ds:schemaRefs/>
</ds:datastoreItem>
</file>

<file path=customXml/itemProps20.xml><?xml version="1.0" encoding="utf-8"?>
<ds:datastoreItem xmlns:ds="http://schemas.openxmlformats.org/officeDocument/2006/customXml" ds:itemID="{E110561D-6668-4C74-B8D6-D7DD3C67113D}">
  <ds:schemaRefs/>
</ds:datastoreItem>
</file>

<file path=customXml/itemProps21.xml><?xml version="1.0" encoding="utf-8"?>
<ds:datastoreItem xmlns:ds="http://schemas.openxmlformats.org/officeDocument/2006/customXml" ds:itemID="{38D43501-21D8-4FAC-9D8A-70810C1B19F0}">
  <ds:schemaRefs/>
</ds:datastoreItem>
</file>

<file path=customXml/itemProps22.xml><?xml version="1.0" encoding="utf-8"?>
<ds:datastoreItem xmlns:ds="http://schemas.openxmlformats.org/officeDocument/2006/customXml" ds:itemID="{EAF200DF-9E49-495B-B7AF-F65841A59B80}">
  <ds:schemaRefs/>
</ds:datastoreItem>
</file>

<file path=customXml/itemProps23.xml><?xml version="1.0" encoding="utf-8"?>
<ds:datastoreItem xmlns:ds="http://schemas.openxmlformats.org/officeDocument/2006/customXml" ds:itemID="{7C57335C-4D49-4CB5-A705-7535FA118DC5}">
  <ds:schemaRefs/>
</ds:datastoreItem>
</file>

<file path=customXml/itemProps24.xml><?xml version="1.0" encoding="utf-8"?>
<ds:datastoreItem xmlns:ds="http://schemas.openxmlformats.org/officeDocument/2006/customXml" ds:itemID="{65F10155-DEE8-402C-8813-95CFF38F2B38}">
  <ds:schemaRefs/>
</ds:datastoreItem>
</file>

<file path=customXml/itemProps25.xml><?xml version="1.0" encoding="utf-8"?>
<ds:datastoreItem xmlns:ds="http://schemas.openxmlformats.org/officeDocument/2006/customXml" ds:itemID="{8E2D13DF-63C1-4CBB-A97E-DCFBDB9A5084}">
  <ds:schemaRefs/>
</ds:datastoreItem>
</file>

<file path=customXml/itemProps26.xml><?xml version="1.0" encoding="utf-8"?>
<ds:datastoreItem xmlns:ds="http://schemas.openxmlformats.org/officeDocument/2006/customXml" ds:itemID="{5D020DA7-9608-4D69-9470-ACE02E931883}">
  <ds:schemaRefs/>
</ds:datastoreItem>
</file>

<file path=customXml/itemProps27.xml><?xml version="1.0" encoding="utf-8"?>
<ds:datastoreItem xmlns:ds="http://schemas.openxmlformats.org/officeDocument/2006/customXml" ds:itemID="{F0F0AE09-3188-4D22-A4E7-5273866D90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Dimension Tables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Sohal</dc:creator>
  <cp:lastModifiedBy>Tushar Sohal</cp:lastModifiedBy>
  <dcterms:created xsi:type="dcterms:W3CDTF">2026-02-19T04:39:54Z</dcterms:created>
  <dcterms:modified xsi:type="dcterms:W3CDTF">2026-02-19T07:03:39Z</dcterms:modified>
</cp:coreProperties>
</file>